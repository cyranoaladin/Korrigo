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B_J1" sheetId="1" state="visible" r:id="rId3"/>
    <sheet name="BB_J2" sheetId="2" state="visible" r:id="rId4"/>
    <sheet name="Statistiques" sheetId="3" state="visible" r:id="rId5"/>
    <sheet name="Copies manquantes" sheetId="4" state="visible" r:id="rId6"/>
  </sheets>
  <definedNames>
    <definedName function="false" hidden="true" localSheetId="0" name="_xlnm._FilterDatabase" vbProcedure="false">BB_J1!$A$3:$N$50</definedName>
    <definedName function="false" hidden="true" localSheetId="1" name="_xlnm._FilterDatabase" vbProcedure="false">BB_J2!$A$3:$N$61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<sst xmlns="http://schemas.openxmlformats.org/spreadsheetml/2006/main" count="1130" uniqueCount="389">
  <si>
    <t xml:space="preserve">Bac Blanc Maths — BB_J1 — Dump 20 fév 2026</t>
  </si>
  <si>
    <t xml:space="preserve">47 copies avec notes</t>
  </si>
  <si>
    <t xml:space="preserve">Rang</t>
  </si>
  <si>
    <t xml:space="preserve">Nom</t>
  </si>
  <si>
    <t xml:space="preserve">Prénom</t>
  </si>
  <si>
    <t xml:space="preserve">Classe</t>
  </si>
  <si>
    <t xml:space="preserve">Grp</t>
  </si>
  <si>
    <t xml:space="preserve">Ex1 Géom /5</t>
  </si>
  <si>
    <t xml:space="preserve">Ex2 Fonc /5</t>
  </si>
  <si>
    <t xml:space="preserve">Ex3 Prob /4</t>
  </si>
  <si>
    <t xml:space="preserve">Ex4 Sui /6</t>
  </si>
  <si>
    <t xml:space="preserve">Total /20</t>
  </si>
  <si>
    <t xml:space="preserve">Statut</t>
  </si>
  <si>
    <t xml:space="preserve">Correcteur</t>
  </si>
  <si>
    <t xml:space="preserve">Annot.</t>
  </si>
  <si>
    <t xml:space="preserve">Rem.</t>
  </si>
  <si>
    <t xml:space="preserve">HACHICH</t>
  </si>
  <si>
    <t xml:space="preserve">SELIM</t>
  </si>
  <si>
    <t xml:space="preserve">T.01</t>
  </si>
  <si>
    <t xml:space="preserve">G3</t>
  </si>
  <si>
    <t xml:space="preserve">📝 En cours</t>
  </si>
  <si>
    <t xml:space="preserve">philippe.carr</t>
  </si>
  <si>
    <t xml:space="preserve">ISSA</t>
  </si>
  <si>
    <t xml:space="preserve">MOURAD</t>
  </si>
  <si>
    <t xml:space="preserve">T.06</t>
  </si>
  <si>
    <t xml:space="preserve">✅ Finalisée</t>
  </si>
  <si>
    <t xml:space="preserve">HAMAIED</t>
  </si>
  <si>
    <t xml:space="preserve">EMNA</t>
  </si>
  <si>
    <t xml:space="preserve">T.02</t>
  </si>
  <si>
    <t xml:space="preserve">G2</t>
  </si>
  <si>
    <t xml:space="preserve">JOMAA</t>
  </si>
  <si>
    <t xml:space="preserve">EMINE</t>
  </si>
  <si>
    <t xml:space="preserve">OUEDERNI</t>
  </si>
  <si>
    <t xml:space="preserve">RAFIF</t>
  </si>
  <si>
    <t xml:space="preserve">selima.klibi</t>
  </si>
  <si>
    <t xml:space="preserve">MEJRI</t>
  </si>
  <si>
    <t xml:space="preserve">HAROUN</t>
  </si>
  <si>
    <t xml:space="preserve">T.05</t>
  </si>
  <si>
    <t xml:space="preserve">MZOUGHI</t>
  </si>
  <si>
    <t xml:space="preserve">LINA</t>
  </si>
  <si>
    <t xml:space="preserve">T.07</t>
  </si>
  <si>
    <t xml:space="preserve">G1</t>
  </si>
  <si>
    <t xml:space="preserve">OUERGHI</t>
  </si>
  <si>
    <t xml:space="preserve">MAYA</t>
  </si>
  <si>
    <t xml:space="preserve">JALLOULI</t>
  </si>
  <si>
    <t xml:space="preserve">AMINE</t>
  </si>
  <si>
    <t xml:space="preserve">MRAD</t>
  </si>
  <si>
    <t xml:space="preserve">MOHAMED-AZIZ</t>
  </si>
  <si>
    <t xml:space="preserve">T.09</t>
  </si>
  <si>
    <t xml:space="preserve">MESTIRI</t>
  </si>
  <si>
    <t xml:space="preserve">MAHMOUD</t>
  </si>
  <si>
    <t xml:space="preserve">MECHICHI</t>
  </si>
  <si>
    <t xml:space="preserve">MEHDI</t>
  </si>
  <si>
    <t xml:space="preserve">T.03</t>
  </si>
  <si>
    <t xml:space="preserve">KAMMOUN</t>
  </si>
  <si>
    <t xml:space="preserve">AYMAR</t>
  </si>
  <si>
    <t xml:space="preserve">M'HIRSI</t>
  </si>
  <si>
    <t xml:space="preserve">RAYENE</t>
  </si>
  <si>
    <t xml:space="preserve">MEDFAI</t>
  </si>
  <si>
    <t xml:space="preserve">IYED-AHMED</t>
  </si>
  <si>
    <t xml:space="preserve">KHOUADJA</t>
  </si>
  <si>
    <t xml:space="preserve">MEHERZI</t>
  </si>
  <si>
    <t xml:space="preserve">MOHAMED-WAEL</t>
  </si>
  <si>
    <t xml:space="preserve">MARRAKCHI</t>
  </si>
  <si>
    <t xml:space="preserve">AHMED</t>
  </si>
  <si>
    <t xml:space="preserve">KAABI</t>
  </si>
  <si>
    <t xml:space="preserve">OMAR-MOKHTAR</t>
  </si>
  <si>
    <t xml:space="preserve">PERON</t>
  </si>
  <si>
    <t xml:space="preserve">RAYAN</t>
  </si>
  <si>
    <t xml:space="preserve">KHEMIRI</t>
  </si>
  <si>
    <t xml:space="preserve">HEDI</t>
  </si>
  <si>
    <t xml:space="preserve">T.10</t>
  </si>
  <si>
    <t xml:space="preserve">JERIBI</t>
  </si>
  <si>
    <t xml:space="preserve">OMAR</t>
  </si>
  <si>
    <t xml:space="preserve">T.08</t>
  </si>
  <si>
    <t xml:space="preserve">JABEUR</t>
  </si>
  <si>
    <t xml:space="preserve">RAMY</t>
  </si>
  <si>
    <t xml:space="preserve">HASSAIRI</t>
  </si>
  <si>
    <t xml:space="preserve">MDIMAGH</t>
  </si>
  <si>
    <t xml:space="preserve">NAJI</t>
  </si>
  <si>
    <t xml:space="preserve">INES</t>
  </si>
  <si>
    <t xml:space="preserve">GRATI</t>
  </si>
  <si>
    <t xml:space="preserve">MOHAMED-MEHDI</t>
  </si>
  <si>
    <t xml:space="preserve">HAMZAOUI</t>
  </si>
  <si>
    <t xml:space="preserve">ISMAËL SATYAVAN</t>
  </si>
  <si>
    <t xml:space="preserve">MYAMBAYE</t>
  </si>
  <si>
    <t xml:space="preserve">AHMAT CHRISTOPHER</t>
  </si>
  <si>
    <t xml:space="preserve">MONTACER</t>
  </si>
  <si>
    <t xml:space="preserve">RAYEN</t>
  </si>
  <si>
    <t xml:space="preserve">LUCIANI</t>
  </si>
  <si>
    <t xml:space="preserve">JAAFAR</t>
  </si>
  <si>
    <t xml:space="preserve">YOUSSEF</t>
  </si>
  <si>
    <t xml:space="preserve">JAIDANE</t>
  </si>
  <si>
    <t xml:space="preserve">MOHAMED-SEYF</t>
  </si>
  <si>
    <t xml:space="preserve">JEBIRA</t>
  </si>
  <si>
    <t xml:space="preserve">SAMI</t>
  </si>
  <si>
    <t xml:space="preserve">M'HAMED</t>
  </si>
  <si>
    <t xml:space="preserve">SELIMA</t>
  </si>
  <si>
    <t xml:space="preserve">GRAF</t>
  </si>
  <si>
    <t xml:space="preserve">ALIA</t>
  </si>
  <si>
    <t xml:space="preserve">KHALSI</t>
  </si>
  <si>
    <t xml:space="preserve">SAFE</t>
  </si>
  <si>
    <t xml:space="preserve">MEZIANE</t>
  </si>
  <si>
    <t xml:space="preserve">WALID</t>
  </si>
  <si>
    <t xml:space="preserve">ALLANI</t>
  </si>
  <si>
    <t xml:space="preserve">MERIEM</t>
  </si>
  <si>
    <t xml:space="preserve">alaeddine.benrhouma</t>
  </si>
  <si>
    <t xml:space="preserve">ALOULOU</t>
  </si>
  <si>
    <t xml:space="preserve">MALEK LOULA</t>
  </si>
  <si>
    <t xml:space="preserve">AMARA</t>
  </si>
  <si>
    <t xml:space="preserve">FARES</t>
  </si>
  <si>
    <t xml:space="preserve">MAATOUG</t>
  </si>
  <si>
    <t xml:space="preserve">SAFA</t>
  </si>
  <si>
    <t xml:space="preserve">AGREBI</t>
  </si>
  <si>
    <t xml:space="preserve">SANDRA-INES</t>
  </si>
  <si>
    <t xml:space="preserve">ABOUDA</t>
  </si>
  <si>
    <t xml:space="preserve">ALBANESE</t>
  </si>
  <si>
    <t xml:space="preserve">ALEXANDRE</t>
  </si>
  <si>
    <t xml:space="preserve">ABID</t>
  </si>
  <si>
    <t xml:space="preserve">YOUCEF</t>
  </si>
  <si>
    <t xml:space="preserve">Médiane</t>
  </si>
  <si>
    <t xml:space="preserve">Min</t>
  </si>
  <si>
    <t xml:space="preserve">Max</t>
  </si>
  <si>
    <t xml:space="preserve">Bac Blanc Maths — BB_J2 — Dump 20 fév 2026</t>
  </si>
  <si>
    <t xml:space="preserve">58 copies avec notes</t>
  </si>
  <si>
    <t xml:space="preserve">Ex1 /5</t>
  </si>
  <si>
    <t xml:space="preserve">Ex2 /5</t>
  </si>
  <si>
    <t xml:space="preserve">Ex3 /5</t>
  </si>
  <si>
    <t xml:space="preserve">Ex4 /5</t>
  </si>
  <si>
    <t xml:space="preserve">BEN</t>
  </si>
  <si>
    <t xml:space="preserve">REGUIGA NOUR</t>
  </si>
  <si>
    <t xml:space="preserve">T.04</t>
  </si>
  <si>
    <t xml:space="preserve">edouard.rousseau</t>
  </si>
  <si>
    <t xml:space="preserve">BLOUZA</t>
  </si>
  <si>
    <t xml:space="preserve">BENNANI</t>
  </si>
  <si>
    <t xml:space="preserve">LILYA</t>
  </si>
  <si>
    <t xml:space="preserve">G6</t>
  </si>
  <si>
    <t xml:space="preserve">chawki.saadi</t>
  </si>
  <si>
    <t xml:space="preserve">AMMAR</t>
  </si>
  <si>
    <t xml:space="preserve">AMAL</t>
  </si>
  <si>
    <t xml:space="preserve">MEGDICHE</t>
  </si>
  <si>
    <t xml:space="preserve">SARAH</t>
  </si>
  <si>
    <t xml:space="preserve">G4</t>
  </si>
  <si>
    <t xml:space="preserve">sami.bentiba</t>
  </si>
  <si>
    <t xml:space="preserve">JEMAA AZIZ</t>
  </si>
  <si>
    <t xml:space="preserve">G5</t>
  </si>
  <si>
    <t xml:space="preserve">ALBOUCHI</t>
  </si>
  <si>
    <t xml:space="preserve">ADAM</t>
  </si>
  <si>
    <t xml:space="preserve">BCHATNIA</t>
  </si>
  <si>
    <t xml:space="preserve">IKRAM</t>
  </si>
  <si>
    <t xml:space="preserve">BELHAJ</t>
  </si>
  <si>
    <t xml:space="preserve">SIRINE</t>
  </si>
  <si>
    <t xml:space="preserve">BENOTHMAN</t>
  </si>
  <si>
    <t xml:space="preserve">MALEK</t>
  </si>
  <si>
    <t xml:space="preserve">GHORBAL FERYEL</t>
  </si>
  <si>
    <t xml:space="preserve">BOUDAYA</t>
  </si>
  <si>
    <t xml:space="preserve">MEGHIRBI</t>
  </si>
  <si>
    <t xml:space="preserve">FATMA</t>
  </si>
  <si>
    <t xml:space="preserve">MESSEDI</t>
  </si>
  <si>
    <t xml:space="preserve">KHADIJA</t>
  </si>
  <si>
    <t xml:space="preserve">AKID</t>
  </si>
  <si>
    <t xml:space="preserve">AZIZ</t>
  </si>
  <si>
    <t xml:space="preserve">AFFES</t>
  </si>
  <si>
    <t xml:space="preserve">AOUADI</t>
  </si>
  <si>
    <t xml:space="preserve">BEJI</t>
  </si>
  <si>
    <t xml:space="preserve">SARRA</t>
  </si>
  <si>
    <t xml:space="preserve">ZAIER</t>
  </si>
  <si>
    <t xml:space="preserve">KHALIL</t>
  </si>
  <si>
    <t xml:space="preserve">BENNEJI</t>
  </si>
  <si>
    <t xml:space="preserve">RAJHI</t>
  </si>
  <si>
    <t xml:space="preserve">LEITH</t>
  </si>
  <si>
    <t xml:space="preserve">SKHIRI</t>
  </si>
  <si>
    <t xml:space="preserve">TRIKI</t>
  </si>
  <si>
    <t xml:space="preserve">ATI</t>
  </si>
  <si>
    <t xml:space="preserve">SYRINE</t>
  </si>
  <si>
    <t xml:space="preserve">ABDENNADHER</t>
  </si>
  <si>
    <t xml:space="preserve">ZAINEB</t>
  </si>
  <si>
    <t xml:space="preserve">REJEB</t>
  </si>
  <si>
    <t xml:space="preserve">NOUR</t>
  </si>
  <si>
    <t xml:space="preserve">SAIGHI</t>
  </si>
  <si>
    <t xml:space="preserve">GHALIA</t>
  </si>
  <si>
    <t xml:space="preserve">ALAYA ZINEDDINE</t>
  </si>
  <si>
    <t xml:space="preserve">SAADI</t>
  </si>
  <si>
    <t xml:space="preserve">MYRIAM</t>
  </si>
  <si>
    <t xml:space="preserve">MOATEMRI</t>
  </si>
  <si>
    <t xml:space="preserve">MOHAMED-BADIS</t>
  </si>
  <si>
    <t xml:space="preserve">OUESLATI</t>
  </si>
  <si>
    <t xml:space="preserve">ISRAA</t>
  </si>
  <si>
    <t xml:space="preserve">BENLTIFA</t>
  </si>
  <si>
    <t xml:space="preserve">MARAM</t>
  </si>
  <si>
    <t xml:space="preserve">BACCOUCHE</t>
  </si>
  <si>
    <t xml:space="preserve">HTIRA ADONIS</t>
  </si>
  <si>
    <t xml:space="preserve">SLAMA</t>
  </si>
  <si>
    <t xml:space="preserve">ZEINEB</t>
  </si>
  <si>
    <t xml:space="preserve">RABAA MOHAMED</t>
  </si>
  <si>
    <t xml:space="preserve">BELTAIEF</t>
  </si>
  <si>
    <t xml:space="preserve">HADROUG</t>
  </si>
  <si>
    <t xml:space="preserve">laroussi.laroussi</t>
  </si>
  <si>
    <t xml:space="preserve">BRIK ANES</t>
  </si>
  <si>
    <t xml:space="preserve">PAZ GALVEZ</t>
  </si>
  <si>
    <t xml:space="preserve">HANNAH GRAZIELA</t>
  </si>
  <si>
    <t xml:space="preserve">MAYARD</t>
  </si>
  <si>
    <t xml:space="preserve">RAFED</t>
  </si>
  <si>
    <t xml:space="preserve">TRABELSI</t>
  </si>
  <si>
    <t xml:space="preserve">MOHAMED</t>
  </si>
  <si>
    <t xml:space="preserve">ZNAIDI</t>
  </si>
  <si>
    <t xml:space="preserve">ZINE-SABIHA</t>
  </si>
  <si>
    <t xml:space="preserve">SMAOUI</t>
  </si>
  <si>
    <t xml:space="preserve">YASSINE</t>
  </si>
  <si>
    <t xml:space="preserve">AKROUT</t>
  </si>
  <si>
    <t xml:space="preserve">ABDELMOULA</t>
  </si>
  <si>
    <t xml:space="preserve">M'BAZAA</t>
  </si>
  <si>
    <t xml:space="preserve">SKANDER</t>
  </si>
  <si>
    <t xml:space="preserve">BOUGUEDOUR</t>
  </si>
  <si>
    <t xml:space="preserve">SAMY-NAZIM</t>
  </si>
  <si>
    <t xml:space="preserve">ZOUAOUI</t>
  </si>
  <si>
    <t xml:space="preserve">ILIAN</t>
  </si>
  <si>
    <t xml:space="preserve">TRIFA</t>
  </si>
  <si>
    <t xml:space="preserve">BILEL</t>
  </si>
  <si>
    <t xml:space="preserve">ONS</t>
  </si>
  <si>
    <t xml:space="preserve">HAKIM</t>
  </si>
  <si>
    <t xml:space="preserve">MEZIANE MAYA</t>
  </si>
  <si>
    <t xml:space="preserve">MEZIOU</t>
  </si>
  <si>
    <t xml:space="preserve">INES CELIA</t>
  </si>
  <si>
    <t xml:space="preserve">HARBAOUI</t>
  </si>
  <si>
    <t xml:space="preserve">SNOUSSI</t>
  </si>
  <si>
    <t xml:space="preserve">YASMINE</t>
  </si>
  <si>
    <t xml:space="preserve">Statistiques BB Maths — Dump 20 fév 2026</t>
  </si>
  <si>
    <t xml:space="preserve">BB_J1</t>
  </si>
  <si>
    <t xml:space="preserve">BB_J2</t>
  </si>
  <si>
    <t xml:space="preserve">Total</t>
  </si>
  <si>
    <t xml:space="preserve">Copies totales</t>
  </si>
  <si>
    <t xml:space="preserve">Notes récupérées</t>
  </si>
  <si>
    <t xml:space="preserve">Finalisées</t>
  </si>
  <si>
    <t xml:space="preserve">En cours</t>
  </si>
  <si>
    <t xml:space="preserve">Sans données</t>
  </si>
  <si>
    <t xml:space="preserve">Par correcteur</t>
  </si>
  <si>
    <t xml:space="preserve">Exam</t>
  </si>
  <si>
    <t xml:space="preserve">Récupérées</t>
  </si>
  <si>
    <t xml:space="preserve">Distribution des notes</t>
  </si>
  <si>
    <t xml:space="preserve">Tranche</t>
  </si>
  <si>
    <t xml:space="preserve">J1</t>
  </si>
  <si>
    <t xml:space="preserve">J2</t>
  </si>
  <si>
    <t xml:space="preserve">≥16</t>
  </si>
  <si>
    <t xml:space="preserve">14-15.99</t>
  </si>
  <si>
    <t xml:space="preserve">12-13.99</t>
  </si>
  <si>
    <t xml:space="preserve">10-11.99</t>
  </si>
  <si>
    <t xml:space="preserve">8-9.99</t>
  </si>
  <si>
    <t xml:space="preserve">&lt;8</t>
  </si>
  <si>
    <t xml:space="preserve">104 copies sans données — Dump 20 fév 2026</t>
  </si>
  <si>
    <t xml:space="preserve">#</t>
  </si>
  <si>
    <t xml:space="preserve">Correcteur assigné</t>
  </si>
  <si>
    <t xml:space="preserve">AMEUR</t>
  </si>
  <si>
    <t xml:space="preserve">AOUAOUI</t>
  </si>
  <si>
    <t xml:space="preserve">CHAIMA</t>
  </si>
  <si>
    <t xml:space="preserve">AYADI</t>
  </si>
  <si>
    <t xml:space="preserve">BARCHICHE</t>
  </si>
  <si>
    <t xml:space="preserve">INES AMELIE</t>
  </si>
  <si>
    <t xml:space="preserve">BEL</t>
  </si>
  <si>
    <t xml:space="preserve">HADJ KHALIFA MOHAMED</t>
  </si>
  <si>
    <t xml:space="preserve">BELCADHI</t>
  </si>
  <si>
    <t xml:space="preserve">YOLDEZ</t>
  </si>
  <si>
    <t xml:space="preserve">ABDELGHAFFAR MEHDI</t>
  </si>
  <si>
    <t xml:space="preserve">ABDESSALEM ELYES</t>
  </si>
  <si>
    <t xml:space="preserve">ALI ZEINEB</t>
  </si>
  <si>
    <t xml:space="preserve">AMEUR MOHAMED-YOUSSEF</t>
  </si>
  <si>
    <t xml:space="preserve">ATTOUCH DONIA</t>
  </si>
  <si>
    <t xml:space="preserve">AYED HAFEDH</t>
  </si>
  <si>
    <t xml:space="preserve">AYED SALMA</t>
  </si>
  <si>
    <t xml:space="preserve">BRAHIM JAWAD</t>
  </si>
  <si>
    <t xml:space="preserve">JEMAA SADRI</t>
  </si>
  <si>
    <t xml:space="preserve">JERAD YASSINE</t>
  </si>
  <si>
    <t xml:space="preserve">KHEMIS SARAH</t>
  </si>
  <si>
    <t xml:space="preserve">LAGHA YANIS</t>
  </si>
  <si>
    <t xml:space="preserve">MAAOUIA IMEN</t>
  </si>
  <si>
    <t xml:space="preserve">MRAD YOUSSEF</t>
  </si>
  <si>
    <t xml:space="preserve">RABEH ARWA</t>
  </si>
  <si>
    <t xml:space="preserve">RAYANA MOHAMED</t>
  </si>
  <si>
    <t xml:space="preserve">TIBA LYNDA</t>
  </si>
  <si>
    <t xml:space="preserve">TURKIA LEITH</t>
  </si>
  <si>
    <t xml:space="preserve">BOUASSIDA</t>
  </si>
  <si>
    <t xml:space="preserve">ILYES</t>
  </si>
  <si>
    <t xml:space="preserve">BOUGHABA</t>
  </si>
  <si>
    <t xml:space="preserve">BOUHELA</t>
  </si>
  <si>
    <t xml:space="preserve">BOUKER</t>
  </si>
  <si>
    <t xml:space="preserve">CHAHED</t>
  </si>
  <si>
    <t xml:space="preserve">SEDDIK</t>
  </si>
  <si>
    <t xml:space="preserve">CHAHERLI</t>
  </si>
  <si>
    <t xml:space="preserve">NOURHAYET</t>
  </si>
  <si>
    <t xml:space="preserve">CHAMAM</t>
  </si>
  <si>
    <t xml:space="preserve">JASIM-BRAHIM</t>
  </si>
  <si>
    <t xml:space="preserve">CHAOUCH</t>
  </si>
  <si>
    <t xml:space="preserve">RIMA</t>
  </si>
  <si>
    <t xml:space="preserve">YASMIN</t>
  </si>
  <si>
    <t xml:space="preserve">CHIHAOUI</t>
  </si>
  <si>
    <t xml:space="preserve">CHOUAYA</t>
  </si>
  <si>
    <t xml:space="preserve">DABOUSSI</t>
  </si>
  <si>
    <t xml:space="preserve">IHEB</t>
  </si>
  <si>
    <t xml:space="preserve">DEBBECH</t>
  </si>
  <si>
    <t xml:space="preserve">MOHAMED-ANAS</t>
  </si>
  <si>
    <t xml:space="preserve">DOUAGI</t>
  </si>
  <si>
    <t xml:space="preserve">ALY</t>
  </si>
  <si>
    <t xml:space="preserve">DRISS</t>
  </si>
  <si>
    <t xml:space="preserve">YACINE</t>
  </si>
  <si>
    <t xml:space="preserve">EL</t>
  </si>
  <si>
    <t xml:space="preserve">OUDI IRAM</t>
  </si>
  <si>
    <t xml:space="preserve">FENNIRA</t>
  </si>
  <si>
    <t xml:space="preserve">NADINE</t>
  </si>
  <si>
    <t xml:space="preserve">GHORBAL</t>
  </si>
  <si>
    <t xml:space="preserve">SOPHIE</t>
  </si>
  <si>
    <t xml:space="preserve">RAHMOUNI</t>
  </si>
  <si>
    <t xml:space="preserve">NESRINE SABRINA</t>
  </si>
  <si>
    <t xml:space="preserve">SANTOS</t>
  </si>
  <si>
    <t xml:space="preserve">SARRA CHRISTIANE</t>
  </si>
  <si>
    <t xml:space="preserve">SATOURI</t>
  </si>
  <si>
    <t xml:space="preserve">ADEM</t>
  </si>
  <si>
    <t xml:space="preserve">SFIA</t>
  </si>
  <si>
    <t xml:space="preserve">IYAD ALEX</t>
  </si>
  <si>
    <t xml:space="preserve">SGHAIER</t>
  </si>
  <si>
    <t xml:space="preserve">LILIA</t>
  </si>
  <si>
    <t xml:space="preserve">ELYES</t>
  </si>
  <si>
    <t xml:space="preserve">SOUISSI</t>
  </si>
  <si>
    <t xml:space="preserve">MOHAMED ALI</t>
  </si>
  <si>
    <t xml:space="preserve">YOMNA</t>
  </si>
  <si>
    <t xml:space="preserve">YOSR</t>
  </si>
  <si>
    <t xml:space="preserve">ABDERRAHMANE</t>
  </si>
  <si>
    <t xml:space="preserve">SKANDER-AZIZ</t>
  </si>
  <si>
    <t xml:space="preserve">TURKI</t>
  </si>
  <si>
    <t xml:space="preserve">ZARAA</t>
  </si>
  <si>
    <t xml:space="preserve">ZARDI</t>
  </si>
  <si>
    <t xml:space="preserve">BOUHAHA</t>
  </si>
  <si>
    <t xml:space="preserve">SOFYA</t>
  </si>
  <si>
    <t xml:space="preserve">BOUJEMAA</t>
  </si>
  <si>
    <t xml:space="preserve">MOHAMED-AMINE</t>
  </si>
  <si>
    <t xml:space="preserve">BOUZIRI</t>
  </si>
  <si>
    <t xml:space="preserve">CHAKCHOUK</t>
  </si>
  <si>
    <t xml:space="preserve">CHAMAKH</t>
  </si>
  <si>
    <t xml:space="preserve">CHANNOUFI</t>
  </si>
  <si>
    <t xml:space="preserve">MOHAMED YASSINE</t>
  </si>
  <si>
    <t xml:space="preserve">CHANOUFI</t>
  </si>
  <si>
    <t xml:space="preserve">CHAPOUTOT</t>
  </si>
  <si>
    <t xml:space="preserve">LEIL</t>
  </si>
  <si>
    <t xml:space="preserve">CHEDLY</t>
  </si>
  <si>
    <t xml:space="preserve">CYRINE</t>
  </si>
  <si>
    <t xml:space="preserve">CHELBI</t>
  </si>
  <si>
    <t xml:space="preserve">CHOUIKHA</t>
  </si>
  <si>
    <t xml:space="preserve">DEKHIL</t>
  </si>
  <si>
    <t xml:space="preserve">MOHAMED SELIM</t>
  </si>
  <si>
    <t xml:space="preserve">DOGGAZ</t>
  </si>
  <si>
    <t xml:space="preserve">ENIS</t>
  </si>
  <si>
    <t xml:space="preserve">DRIDI</t>
  </si>
  <si>
    <t xml:space="preserve">MOHAMED-DHIAA</t>
  </si>
  <si>
    <t xml:space="preserve">EBEYE</t>
  </si>
  <si>
    <t xml:space="preserve">YAHYA</t>
  </si>
  <si>
    <t xml:space="preserve">BAHRI AHMED SELIM</t>
  </si>
  <si>
    <t xml:space="preserve">KAAKI KHALED</t>
  </si>
  <si>
    <t xml:space="preserve">ESSAIDI</t>
  </si>
  <si>
    <t xml:space="preserve">SALMA ZEINEB</t>
  </si>
  <si>
    <t xml:space="preserve">FEKI</t>
  </si>
  <si>
    <t xml:space="preserve">GADDES</t>
  </si>
  <si>
    <t xml:space="preserve">GAIED</t>
  </si>
  <si>
    <t xml:space="preserve">GHORBEL</t>
  </si>
  <si>
    <t xml:space="preserve">ALYA</t>
  </si>
  <si>
    <t xml:space="preserve">HENDAOUI</t>
  </si>
  <si>
    <t xml:space="preserve">FERYEL</t>
  </si>
  <si>
    <t xml:space="preserve">IDANI</t>
  </si>
  <si>
    <t xml:space="preserve">MARIEM</t>
  </si>
  <si>
    <t xml:space="preserve">JABER</t>
  </si>
  <si>
    <t xml:space="preserve">JARRAYA</t>
  </si>
  <si>
    <t xml:space="preserve">ABDELHAMID</t>
  </si>
  <si>
    <t xml:space="preserve">JEDDI</t>
  </si>
  <si>
    <t xml:space="preserve">KAMOUN</t>
  </si>
  <si>
    <t xml:space="preserve">KAOUEL</t>
  </si>
  <si>
    <t xml:space="preserve">KASRAOUI</t>
  </si>
  <si>
    <t xml:space="preserve">KHELIL</t>
  </si>
  <si>
    <t xml:space="preserve">KHEMIR</t>
  </si>
  <si>
    <t xml:space="preserve">KOUBAA</t>
  </si>
  <si>
    <t xml:space="preserve">KOUNDI</t>
  </si>
  <si>
    <t xml:space="preserve">KTATA</t>
  </si>
  <si>
    <t xml:space="preserve">LAJNEF</t>
  </si>
  <si>
    <t xml:space="preserve">LANGAR</t>
  </si>
  <si>
    <t xml:space="preserve">LAYOUNI</t>
  </si>
  <si>
    <t xml:space="preserve">MAAMOURI</t>
  </si>
  <si>
    <t xml:space="preserve">MAAREF</t>
  </si>
  <si>
    <t xml:space="preserve">YOUNES</t>
  </si>
  <si>
    <t xml:space="preserve">MASMOUDI</t>
  </si>
  <si>
    <t xml:space="preserve">HAMED</t>
  </si>
  <si>
    <t xml:space="preserve">MASROUKI</t>
  </si>
  <si>
    <t xml:space="preserve">MOLKA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</si>
</sst>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F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E0E0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E0E0"/>
      </patternFill>
    </fill>
    <fill>
      <patternFill patternType="solid">
        <fgColor rgb="FFC00000"/>
        <bgColor rgb="FFFF0000"/>
      </patternFill>
    </fill>
    <fill>
      <patternFill patternType="solid">
        <fgColor rgb="FFFFE0E0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N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9" min="6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n">
        <v>1</v>
      </c>
      <c r="B4" s="5" t="s">
        <v>16</v>
      </c>
      <c r="C4" s="5" t="s">
        <v>17</v>
      </c>
      <c r="D4" s="4" t="s">
        <v>18</v>
      </c>
      <c r="E4" s="4" t="s">
        <v>19</v>
      </c>
      <c r="F4" s="6" t="n">
        <v>5</v>
      </c>
      <c r="G4" s="6" t="n">
        <v>5</v>
      </c>
      <c r="H4" s="6" t="n">
        <v>4</v>
      </c>
      <c r="I4" s="6" t="n">
        <v>6</v>
      </c>
      <c r="J4" s="7" t="n">
        <v>20</v>
      </c>
      <c r="K4" s="8" t="s">
        <v>20</v>
      </c>
      <c r="L4" s="4" t="s">
        <v>21</v>
      </c>
      <c r="M4" s="4" t="n">
        <v>0</v>
      </c>
      <c r="N4" s="4" t="n">
        <v>4</v>
      </c>
    </row>
    <row r="5" customFormat="false" ht="15" hidden="false" customHeight="false" outlineLevel="0" collapsed="false">
      <c r="A5" s="4" t="n">
        <v>2</v>
      </c>
      <c r="B5" s="5" t="s">
        <v>22</v>
      </c>
      <c r="C5" s="5" t="s">
        <v>23</v>
      </c>
      <c r="D5" s="4" t="s">
        <v>24</v>
      </c>
      <c r="E5" s="4" t="s">
        <v>24</v>
      </c>
      <c r="F5" s="6" t="n">
        <v>5</v>
      </c>
      <c r="G5" s="6" t="n">
        <v>4.75</v>
      </c>
      <c r="H5" s="6" t="n">
        <v>4</v>
      </c>
      <c r="I5" s="6" t="n">
        <v>5.75</v>
      </c>
      <c r="J5" s="7" t="n">
        <v>19.5</v>
      </c>
      <c r="K5" s="9" t="s">
        <v>25</v>
      </c>
      <c r="L5" s="4" t="s">
        <v>21</v>
      </c>
      <c r="M5" s="4" t="n">
        <v>17</v>
      </c>
      <c r="N5" s="4" t="n">
        <v>6</v>
      </c>
    </row>
    <row r="6" customFormat="false" ht="15" hidden="false" customHeight="false" outlineLevel="0" collapsed="false">
      <c r="A6" s="4" t="n">
        <v>3</v>
      </c>
      <c r="B6" s="5" t="s">
        <v>26</v>
      </c>
      <c r="C6" s="5" t="s">
        <v>27</v>
      </c>
      <c r="D6" s="4" t="s">
        <v>28</v>
      </c>
      <c r="E6" s="4" t="s">
        <v>29</v>
      </c>
      <c r="F6" s="6" t="n">
        <v>5</v>
      </c>
      <c r="G6" s="6" t="n">
        <v>4.7</v>
      </c>
      <c r="H6" s="6" t="n">
        <v>3.75</v>
      </c>
      <c r="I6" s="6" t="n">
        <v>5.3</v>
      </c>
      <c r="J6" s="7" t="n">
        <v>18.75</v>
      </c>
      <c r="K6" s="9" t="s">
        <v>25</v>
      </c>
      <c r="L6" s="4" t="s">
        <v>21</v>
      </c>
      <c r="M6" s="4" t="n">
        <v>18</v>
      </c>
      <c r="N6" s="4" t="n">
        <v>6</v>
      </c>
    </row>
    <row r="7" customFormat="false" ht="15" hidden="false" customHeight="false" outlineLevel="0" collapsed="false">
      <c r="A7" s="4" t="n">
        <v>4</v>
      </c>
      <c r="B7" s="5" t="s">
        <v>30</v>
      </c>
      <c r="C7" s="5" t="s">
        <v>31</v>
      </c>
      <c r="D7" s="4" t="s">
        <v>24</v>
      </c>
      <c r="E7" s="4" t="s">
        <v>24</v>
      </c>
      <c r="F7" s="6" t="n">
        <v>5</v>
      </c>
      <c r="G7" s="6" t="n">
        <v>4.35</v>
      </c>
      <c r="H7" s="6" t="n">
        <v>4</v>
      </c>
      <c r="I7" s="6" t="n">
        <v>5.25</v>
      </c>
      <c r="J7" s="7" t="n">
        <v>18.6</v>
      </c>
      <c r="K7" s="9" t="s">
        <v>25</v>
      </c>
      <c r="L7" s="4" t="s">
        <v>21</v>
      </c>
      <c r="M7" s="4" t="n">
        <v>17</v>
      </c>
      <c r="N7" s="4" t="n">
        <v>5</v>
      </c>
    </row>
    <row r="8" customFormat="false" ht="15" hidden="false" customHeight="false" outlineLevel="0" collapsed="false">
      <c r="A8" s="4" t="n">
        <v>5</v>
      </c>
      <c r="B8" s="5" t="s">
        <v>32</v>
      </c>
      <c r="C8" s="5" t="s">
        <v>33</v>
      </c>
      <c r="D8" s="4" t="s">
        <v>18</v>
      </c>
      <c r="E8" s="4" t="s">
        <v>19</v>
      </c>
      <c r="F8" s="6" t="n">
        <v>5</v>
      </c>
      <c r="G8" s="6" t="n">
        <v>4.9</v>
      </c>
      <c r="H8" s="6" t="n">
        <v>3.6</v>
      </c>
      <c r="I8" s="6" t="n">
        <v>4.95</v>
      </c>
      <c r="J8" s="7" t="n">
        <v>18.45</v>
      </c>
      <c r="K8" s="8" t="s">
        <v>20</v>
      </c>
      <c r="L8" s="4" t="s">
        <v>34</v>
      </c>
      <c r="M8" s="4" t="n">
        <v>23</v>
      </c>
      <c r="N8" s="4" t="n">
        <v>5</v>
      </c>
    </row>
    <row r="9" customFormat="false" ht="15" hidden="false" customHeight="false" outlineLevel="0" collapsed="false">
      <c r="A9" s="4" t="n">
        <v>6</v>
      </c>
      <c r="B9" s="5" t="s">
        <v>35</v>
      </c>
      <c r="C9" s="5" t="s">
        <v>36</v>
      </c>
      <c r="D9" s="4" t="s">
        <v>37</v>
      </c>
      <c r="E9" s="4" t="s">
        <v>29</v>
      </c>
      <c r="F9" s="6" t="n">
        <v>5</v>
      </c>
      <c r="G9" s="6" t="n">
        <v>4.2</v>
      </c>
      <c r="H9" s="6" t="n">
        <v>4</v>
      </c>
      <c r="I9" s="6" t="n">
        <v>4.95</v>
      </c>
      <c r="J9" s="7" t="n">
        <v>18.15</v>
      </c>
      <c r="K9" s="8" t="s">
        <v>20</v>
      </c>
      <c r="L9" s="4" t="s">
        <v>34</v>
      </c>
      <c r="M9" s="4" t="n">
        <v>0</v>
      </c>
      <c r="N9" s="4" t="n">
        <v>11</v>
      </c>
    </row>
    <row r="10" customFormat="false" ht="15" hidden="false" customHeight="false" outlineLevel="0" collapsed="false">
      <c r="A10" s="4" t="n">
        <v>7</v>
      </c>
      <c r="B10" s="5" t="s">
        <v>38</v>
      </c>
      <c r="C10" s="5" t="s">
        <v>39</v>
      </c>
      <c r="D10" s="4" t="s">
        <v>40</v>
      </c>
      <c r="E10" s="4" t="s">
        <v>41</v>
      </c>
      <c r="F10" s="6" t="n">
        <v>4</v>
      </c>
      <c r="G10" s="6" t="n">
        <v>4.95</v>
      </c>
      <c r="H10" s="6" t="n">
        <v>3.95</v>
      </c>
      <c r="I10" s="6" t="n">
        <v>5.2</v>
      </c>
      <c r="J10" s="7" t="n">
        <v>18.1</v>
      </c>
      <c r="K10" s="8" t="s">
        <v>20</v>
      </c>
      <c r="L10" s="4" t="s">
        <v>34</v>
      </c>
      <c r="M10" s="4" t="n">
        <v>8</v>
      </c>
      <c r="N10" s="4" t="n">
        <v>6</v>
      </c>
    </row>
    <row r="11" customFormat="false" ht="15" hidden="false" customHeight="false" outlineLevel="0" collapsed="false">
      <c r="A11" s="4" t="n">
        <v>8</v>
      </c>
      <c r="B11" s="5" t="s">
        <v>42</v>
      </c>
      <c r="C11" s="5" t="s">
        <v>43</v>
      </c>
      <c r="D11" s="4" t="s">
        <v>40</v>
      </c>
      <c r="E11" s="4" t="s">
        <v>41</v>
      </c>
      <c r="F11" s="6" t="n">
        <v>4</v>
      </c>
      <c r="G11" s="6" t="n">
        <v>4.95</v>
      </c>
      <c r="H11" s="6" t="n">
        <v>3.85</v>
      </c>
      <c r="I11" s="6" t="n">
        <v>5.25</v>
      </c>
      <c r="J11" s="7" t="n">
        <v>18.05</v>
      </c>
      <c r="K11" s="8" t="s">
        <v>20</v>
      </c>
      <c r="L11" s="4" t="s">
        <v>34</v>
      </c>
      <c r="M11" s="4" t="n">
        <v>0</v>
      </c>
      <c r="N11" s="4" t="n">
        <v>7</v>
      </c>
    </row>
    <row r="12" customFormat="false" ht="15" hidden="false" customHeight="false" outlineLevel="0" collapsed="false">
      <c r="A12" s="4" t="n">
        <v>9</v>
      </c>
      <c r="B12" s="5" t="s">
        <v>44</v>
      </c>
      <c r="C12" s="5" t="s">
        <v>45</v>
      </c>
      <c r="D12" s="4" t="s">
        <v>28</v>
      </c>
      <c r="E12" s="4" t="s">
        <v>29</v>
      </c>
      <c r="F12" s="6" t="n">
        <v>5</v>
      </c>
      <c r="G12" s="6" t="n">
        <v>3.85</v>
      </c>
      <c r="H12" s="6" t="n">
        <v>4</v>
      </c>
      <c r="I12" s="6" t="n">
        <v>5</v>
      </c>
      <c r="J12" s="7" t="n">
        <v>17.85</v>
      </c>
      <c r="K12" s="8" t="s">
        <v>20</v>
      </c>
      <c r="L12" s="4" t="s">
        <v>21</v>
      </c>
      <c r="M12" s="4" t="n">
        <v>5</v>
      </c>
      <c r="N12" s="4" t="n">
        <v>12</v>
      </c>
    </row>
    <row r="13" customFormat="false" ht="15" hidden="false" customHeight="false" outlineLevel="0" collapsed="false">
      <c r="A13" s="4" t="n">
        <v>10</v>
      </c>
      <c r="B13" s="5" t="s">
        <v>46</v>
      </c>
      <c r="C13" s="5" t="s">
        <v>47</v>
      </c>
      <c r="D13" s="4" t="s">
        <v>48</v>
      </c>
      <c r="E13" s="4" t="s">
        <v>41</v>
      </c>
      <c r="F13" s="6" t="n">
        <v>5</v>
      </c>
      <c r="G13" s="6" t="n">
        <v>3.6</v>
      </c>
      <c r="H13" s="6" t="n">
        <v>3.35</v>
      </c>
      <c r="I13" s="6" t="n">
        <v>5.75</v>
      </c>
      <c r="J13" s="7" t="n">
        <v>17.7</v>
      </c>
      <c r="K13" s="8" t="s">
        <v>20</v>
      </c>
      <c r="L13" s="4" t="s">
        <v>34</v>
      </c>
      <c r="M13" s="4" t="n">
        <v>0</v>
      </c>
      <c r="N13" s="4" t="n">
        <v>12</v>
      </c>
    </row>
    <row r="14" customFormat="false" ht="15" hidden="false" customHeight="false" outlineLevel="0" collapsed="false">
      <c r="A14" s="4" t="n">
        <v>11</v>
      </c>
      <c r="B14" s="5" t="s">
        <v>49</v>
      </c>
      <c r="C14" s="5" t="s">
        <v>50</v>
      </c>
      <c r="D14" s="4" t="s">
        <v>24</v>
      </c>
      <c r="E14" s="4" t="s">
        <v>24</v>
      </c>
      <c r="F14" s="6" t="n">
        <v>5</v>
      </c>
      <c r="G14" s="6" t="n">
        <v>3.35</v>
      </c>
      <c r="H14" s="6" t="n">
        <v>3.75</v>
      </c>
      <c r="I14" s="6" t="n">
        <v>5.5</v>
      </c>
      <c r="J14" s="7" t="n">
        <v>17.6</v>
      </c>
      <c r="K14" s="8" t="s">
        <v>20</v>
      </c>
      <c r="L14" s="4" t="s">
        <v>34</v>
      </c>
      <c r="M14" s="4" t="n">
        <v>0</v>
      </c>
      <c r="N14" s="4" t="n">
        <v>13</v>
      </c>
    </row>
    <row r="15" customFormat="false" ht="15" hidden="false" customHeight="false" outlineLevel="0" collapsed="false">
      <c r="A15" s="4" t="n">
        <v>12</v>
      </c>
      <c r="B15" s="5" t="s">
        <v>51</v>
      </c>
      <c r="C15" s="5" t="s">
        <v>52</v>
      </c>
      <c r="D15" s="4" t="s">
        <v>53</v>
      </c>
      <c r="E15" s="4" t="s">
        <v>29</v>
      </c>
      <c r="F15" s="6" t="n">
        <v>5</v>
      </c>
      <c r="G15" s="6" t="n">
        <v>3.7</v>
      </c>
      <c r="H15" s="6" t="n">
        <v>3.5</v>
      </c>
      <c r="I15" s="6" t="n">
        <v>5.4</v>
      </c>
      <c r="J15" s="7" t="n">
        <v>17.6</v>
      </c>
      <c r="K15" s="9" t="s">
        <v>25</v>
      </c>
      <c r="L15" s="4" t="s">
        <v>21</v>
      </c>
      <c r="M15" s="4" t="n">
        <v>17</v>
      </c>
      <c r="N15" s="4" t="n">
        <v>9</v>
      </c>
    </row>
    <row r="16" customFormat="false" ht="15" hidden="false" customHeight="false" outlineLevel="0" collapsed="false">
      <c r="A16" s="4" t="n">
        <v>13</v>
      </c>
      <c r="B16" s="5" t="s">
        <v>54</v>
      </c>
      <c r="C16" s="5" t="s">
        <v>55</v>
      </c>
      <c r="D16" s="4" t="s">
        <v>48</v>
      </c>
      <c r="E16" s="4" t="s">
        <v>41</v>
      </c>
      <c r="F16" s="6" t="n">
        <v>5</v>
      </c>
      <c r="G16" s="6" t="n">
        <v>3</v>
      </c>
      <c r="H16" s="6" t="n">
        <v>3.5</v>
      </c>
      <c r="I16" s="6" t="n">
        <v>5.15</v>
      </c>
      <c r="J16" s="7" t="n">
        <v>16.65</v>
      </c>
      <c r="K16" s="8" t="s">
        <v>20</v>
      </c>
      <c r="L16" s="4" t="s">
        <v>21</v>
      </c>
      <c r="M16" s="4" t="n">
        <v>11</v>
      </c>
      <c r="N16" s="4" t="n">
        <v>12</v>
      </c>
    </row>
    <row r="17" customFormat="false" ht="15" hidden="false" customHeight="false" outlineLevel="0" collapsed="false">
      <c r="A17" s="4" t="n">
        <v>14</v>
      </c>
      <c r="B17" s="5" t="s">
        <v>56</v>
      </c>
      <c r="C17" s="5" t="s">
        <v>57</v>
      </c>
      <c r="D17" s="4" t="s">
        <v>53</v>
      </c>
      <c r="E17" s="4" t="s">
        <v>29</v>
      </c>
      <c r="F17" s="6" t="n">
        <v>5</v>
      </c>
      <c r="G17" s="6" t="n">
        <v>3</v>
      </c>
      <c r="H17" s="6" t="n">
        <v>3.3</v>
      </c>
      <c r="I17" s="6" t="n">
        <v>5.1</v>
      </c>
      <c r="J17" s="7" t="n">
        <v>16.4</v>
      </c>
      <c r="K17" s="8" t="s">
        <v>20</v>
      </c>
      <c r="L17" s="4" t="s">
        <v>34</v>
      </c>
      <c r="M17" s="4" t="n">
        <v>0</v>
      </c>
      <c r="N17" s="4" t="n">
        <v>16</v>
      </c>
    </row>
    <row r="18" customFormat="false" ht="15" hidden="false" customHeight="false" outlineLevel="0" collapsed="false">
      <c r="A18" s="4" t="n">
        <v>15</v>
      </c>
      <c r="B18" s="5" t="s">
        <v>58</v>
      </c>
      <c r="C18" s="5" t="s">
        <v>59</v>
      </c>
      <c r="D18" s="4" t="s">
        <v>24</v>
      </c>
      <c r="E18" s="4" t="s">
        <v>24</v>
      </c>
      <c r="F18" s="6" t="n">
        <v>4</v>
      </c>
      <c r="G18" s="6" t="n">
        <v>3.45</v>
      </c>
      <c r="H18" s="6" t="n">
        <v>3.5</v>
      </c>
      <c r="I18" s="6" t="n">
        <v>4.75</v>
      </c>
      <c r="J18" s="10" t="n">
        <v>15.7</v>
      </c>
      <c r="K18" s="9" t="s">
        <v>25</v>
      </c>
      <c r="L18" s="4" t="s">
        <v>21</v>
      </c>
      <c r="M18" s="4" t="n">
        <v>22</v>
      </c>
      <c r="N18" s="4" t="n">
        <v>13</v>
      </c>
    </row>
    <row r="19" customFormat="false" ht="15" hidden="false" customHeight="false" outlineLevel="0" collapsed="false">
      <c r="A19" s="4" t="n">
        <v>16</v>
      </c>
      <c r="B19" s="5" t="s">
        <v>60</v>
      </c>
      <c r="C19" s="5" t="s">
        <v>39</v>
      </c>
      <c r="D19" s="4" t="s">
        <v>37</v>
      </c>
      <c r="E19" s="4" t="s">
        <v>29</v>
      </c>
      <c r="F19" s="6" t="n">
        <v>5</v>
      </c>
      <c r="G19" s="6" t="n">
        <v>2.85</v>
      </c>
      <c r="H19" s="6" t="n">
        <v>2.75</v>
      </c>
      <c r="I19" s="6" t="n">
        <v>4.9</v>
      </c>
      <c r="J19" s="10" t="n">
        <v>15.5</v>
      </c>
      <c r="K19" s="9" t="s">
        <v>25</v>
      </c>
      <c r="L19" s="4" t="s">
        <v>21</v>
      </c>
      <c r="M19" s="4" t="n">
        <v>21</v>
      </c>
      <c r="N19" s="4" t="n">
        <v>17</v>
      </c>
    </row>
    <row r="20" customFormat="false" ht="15" hidden="false" customHeight="false" outlineLevel="0" collapsed="false">
      <c r="A20" s="4" t="n">
        <v>17</v>
      </c>
      <c r="B20" s="5" t="s">
        <v>61</v>
      </c>
      <c r="C20" s="5" t="s">
        <v>62</v>
      </c>
      <c r="D20" s="4" t="s">
        <v>28</v>
      </c>
      <c r="E20" s="4" t="s">
        <v>29</v>
      </c>
      <c r="F20" s="6" t="n">
        <v>4</v>
      </c>
      <c r="G20" s="6" t="n">
        <v>2.95</v>
      </c>
      <c r="H20" s="6" t="n">
        <v>4</v>
      </c>
      <c r="I20" s="6" t="n">
        <v>4.55</v>
      </c>
      <c r="J20" s="10" t="n">
        <v>15.5</v>
      </c>
      <c r="K20" s="9" t="s">
        <v>25</v>
      </c>
      <c r="L20" s="4" t="s">
        <v>21</v>
      </c>
      <c r="M20" s="4" t="n">
        <v>31</v>
      </c>
      <c r="N20" s="4" t="n">
        <v>13</v>
      </c>
    </row>
    <row r="21" customFormat="false" ht="15" hidden="false" customHeight="false" outlineLevel="0" collapsed="false">
      <c r="A21" s="4" t="n">
        <v>18</v>
      </c>
      <c r="B21" s="5" t="s">
        <v>63</v>
      </c>
      <c r="C21" s="5" t="s">
        <v>64</v>
      </c>
      <c r="D21" s="4" t="s">
        <v>28</v>
      </c>
      <c r="E21" s="4" t="s">
        <v>29</v>
      </c>
      <c r="F21" s="6" t="n">
        <v>5</v>
      </c>
      <c r="G21" s="6" t="n">
        <v>3.2</v>
      </c>
      <c r="H21" s="6" t="n">
        <v>3.5</v>
      </c>
      <c r="I21" s="6" t="n">
        <v>3.75</v>
      </c>
      <c r="J21" s="10" t="n">
        <v>15.45</v>
      </c>
      <c r="K21" s="9" t="s">
        <v>25</v>
      </c>
      <c r="L21" s="4" t="s">
        <v>21</v>
      </c>
      <c r="M21" s="4" t="n">
        <v>36</v>
      </c>
      <c r="N21" s="4" t="n">
        <v>17</v>
      </c>
    </row>
    <row r="22" customFormat="false" ht="15" hidden="false" customHeight="false" outlineLevel="0" collapsed="false">
      <c r="A22" s="4" t="n">
        <v>19</v>
      </c>
      <c r="B22" s="5" t="s">
        <v>65</v>
      </c>
      <c r="C22" s="5" t="s">
        <v>66</v>
      </c>
      <c r="D22" s="4" t="s">
        <v>28</v>
      </c>
      <c r="E22" s="4" t="s">
        <v>29</v>
      </c>
      <c r="F22" s="6" t="n">
        <v>5</v>
      </c>
      <c r="G22" s="6" t="n">
        <v>3.5</v>
      </c>
      <c r="H22" s="6" t="n">
        <v>3.5</v>
      </c>
      <c r="I22" s="6" t="n">
        <v>3</v>
      </c>
      <c r="J22" s="10" t="n">
        <v>15</v>
      </c>
      <c r="K22" s="8" t="s">
        <v>20</v>
      </c>
      <c r="L22" s="4" t="s">
        <v>21</v>
      </c>
      <c r="M22" s="4" t="n">
        <v>0</v>
      </c>
      <c r="N22" s="4" t="n">
        <v>19</v>
      </c>
    </row>
    <row r="23" customFormat="false" ht="15" hidden="false" customHeight="false" outlineLevel="0" collapsed="false">
      <c r="A23" s="4" t="n">
        <v>20</v>
      </c>
      <c r="B23" s="5" t="s">
        <v>67</v>
      </c>
      <c r="C23" s="5" t="s">
        <v>68</v>
      </c>
      <c r="D23" s="4" t="s">
        <v>48</v>
      </c>
      <c r="E23" s="4" t="s">
        <v>41</v>
      </c>
      <c r="F23" s="6" t="n">
        <v>5</v>
      </c>
      <c r="G23" s="6" t="n">
        <v>2.65</v>
      </c>
      <c r="H23" s="6" t="n">
        <v>3.5</v>
      </c>
      <c r="I23" s="6" t="n">
        <v>3.65</v>
      </c>
      <c r="J23" s="10" t="n">
        <v>14.8</v>
      </c>
      <c r="K23" s="8" t="s">
        <v>20</v>
      </c>
      <c r="L23" s="4" t="s">
        <v>34</v>
      </c>
      <c r="M23" s="4" t="n">
        <v>0</v>
      </c>
      <c r="N23" s="4" t="n">
        <v>19</v>
      </c>
    </row>
    <row r="24" customFormat="false" ht="15" hidden="false" customHeight="false" outlineLevel="0" collapsed="false">
      <c r="A24" s="4" t="n">
        <v>21</v>
      </c>
      <c r="B24" s="5" t="s">
        <v>69</v>
      </c>
      <c r="C24" s="5" t="s">
        <v>70</v>
      </c>
      <c r="D24" s="4" t="s">
        <v>71</v>
      </c>
      <c r="E24" s="4" t="s">
        <v>41</v>
      </c>
      <c r="F24" s="6" t="n">
        <v>4</v>
      </c>
      <c r="G24" s="6" t="n">
        <v>2</v>
      </c>
      <c r="H24" s="6" t="n">
        <v>3.75</v>
      </c>
      <c r="I24" s="6" t="n">
        <v>4.5</v>
      </c>
      <c r="J24" s="10" t="n">
        <v>14.25</v>
      </c>
      <c r="K24" s="9" t="s">
        <v>25</v>
      </c>
      <c r="L24" s="4" t="s">
        <v>21</v>
      </c>
      <c r="M24" s="4" t="n">
        <v>35</v>
      </c>
      <c r="N24" s="4" t="n">
        <v>16</v>
      </c>
    </row>
    <row r="25" customFormat="false" ht="15" hidden="false" customHeight="false" outlineLevel="0" collapsed="false">
      <c r="A25" s="4" t="n">
        <v>22</v>
      </c>
      <c r="B25" s="5" t="s">
        <v>72</v>
      </c>
      <c r="C25" s="5" t="s">
        <v>73</v>
      </c>
      <c r="D25" s="4" t="s">
        <v>74</v>
      </c>
      <c r="E25" s="4" t="s">
        <v>19</v>
      </c>
      <c r="F25" s="6" t="n">
        <v>4</v>
      </c>
      <c r="G25" s="6" t="n">
        <v>2.5</v>
      </c>
      <c r="H25" s="6" t="n">
        <v>2</v>
      </c>
      <c r="I25" s="6" t="n">
        <v>5.5</v>
      </c>
      <c r="J25" s="10" t="n">
        <v>14</v>
      </c>
      <c r="K25" s="8" t="s">
        <v>20</v>
      </c>
      <c r="L25" s="4" t="s">
        <v>21</v>
      </c>
      <c r="M25" s="4" t="n">
        <v>0</v>
      </c>
      <c r="N25" s="4" t="n">
        <v>15</v>
      </c>
    </row>
    <row r="26" customFormat="false" ht="15" hidden="false" customHeight="false" outlineLevel="0" collapsed="false">
      <c r="A26" s="4" t="n">
        <v>23</v>
      </c>
      <c r="B26" s="5" t="s">
        <v>75</v>
      </c>
      <c r="C26" s="5" t="s">
        <v>76</v>
      </c>
      <c r="D26" s="4" t="s">
        <v>71</v>
      </c>
      <c r="E26" s="4" t="s">
        <v>41</v>
      </c>
      <c r="F26" s="6" t="n">
        <v>4</v>
      </c>
      <c r="G26" s="6" t="n">
        <v>2.75</v>
      </c>
      <c r="H26" s="6" t="n">
        <v>2.25</v>
      </c>
      <c r="I26" s="6" t="n">
        <v>4.5</v>
      </c>
      <c r="J26" s="10" t="n">
        <v>13.5</v>
      </c>
      <c r="K26" s="8" t="s">
        <v>20</v>
      </c>
      <c r="L26" s="4" t="s">
        <v>21</v>
      </c>
      <c r="M26" s="4" t="n">
        <v>4</v>
      </c>
      <c r="N26" s="4" t="n">
        <v>17</v>
      </c>
    </row>
    <row r="27" customFormat="false" ht="15" hidden="false" customHeight="false" outlineLevel="0" collapsed="false">
      <c r="A27" s="4" t="n">
        <v>24</v>
      </c>
      <c r="B27" s="5" t="s">
        <v>77</v>
      </c>
      <c r="C27" s="5" t="s">
        <v>70</v>
      </c>
      <c r="D27" s="4" t="s">
        <v>24</v>
      </c>
      <c r="E27" s="4" t="s">
        <v>24</v>
      </c>
      <c r="F27" s="6" t="n">
        <v>3</v>
      </c>
      <c r="G27" s="6" t="n">
        <v>3.45</v>
      </c>
      <c r="H27" s="6" t="n">
        <v>2.5</v>
      </c>
      <c r="I27" s="6" t="n">
        <v>3.85</v>
      </c>
      <c r="J27" s="10" t="n">
        <v>12.8</v>
      </c>
      <c r="K27" s="9" t="s">
        <v>25</v>
      </c>
      <c r="L27" s="4" t="s">
        <v>21</v>
      </c>
      <c r="M27" s="4" t="n">
        <v>32</v>
      </c>
      <c r="N27" s="4" t="n">
        <v>19</v>
      </c>
    </row>
    <row r="28" customFormat="false" ht="15" hidden="false" customHeight="false" outlineLevel="0" collapsed="false">
      <c r="A28" s="4" t="n">
        <v>25</v>
      </c>
      <c r="B28" s="5" t="s">
        <v>78</v>
      </c>
      <c r="C28" s="5" t="s">
        <v>27</v>
      </c>
      <c r="D28" s="4" t="s">
        <v>28</v>
      </c>
      <c r="E28" s="4" t="s">
        <v>29</v>
      </c>
      <c r="F28" s="6" t="n">
        <v>4</v>
      </c>
      <c r="G28" s="6" t="n">
        <v>2.25</v>
      </c>
      <c r="H28" s="6" t="n">
        <v>3.5</v>
      </c>
      <c r="I28" s="6" t="n">
        <v>2.5</v>
      </c>
      <c r="J28" s="10" t="n">
        <v>12.25</v>
      </c>
      <c r="K28" s="8" t="s">
        <v>20</v>
      </c>
      <c r="L28" s="4" t="s">
        <v>21</v>
      </c>
      <c r="M28" s="4" t="n">
        <v>6</v>
      </c>
      <c r="N28" s="4" t="n">
        <v>21</v>
      </c>
    </row>
    <row r="29" customFormat="false" ht="15" hidden="false" customHeight="false" outlineLevel="0" collapsed="false">
      <c r="A29" s="4" t="n">
        <v>26</v>
      </c>
      <c r="B29" s="5" t="s">
        <v>79</v>
      </c>
      <c r="C29" s="5" t="s">
        <v>80</v>
      </c>
      <c r="D29" s="4" t="s">
        <v>18</v>
      </c>
      <c r="E29" s="4" t="s">
        <v>19</v>
      </c>
      <c r="F29" s="6" t="n">
        <v>5</v>
      </c>
      <c r="G29" s="6" t="n">
        <v>2.55</v>
      </c>
      <c r="H29" s="6" t="n">
        <v>1.45</v>
      </c>
      <c r="I29" s="6" t="n">
        <v>2.75</v>
      </c>
      <c r="J29" s="11" t="n">
        <v>11.75</v>
      </c>
      <c r="K29" s="8" t="s">
        <v>20</v>
      </c>
      <c r="L29" s="4" t="s">
        <v>34</v>
      </c>
      <c r="M29" s="4" t="n">
        <v>0</v>
      </c>
      <c r="N29" s="4" t="n">
        <v>17</v>
      </c>
    </row>
    <row r="30" customFormat="false" ht="15" hidden="false" customHeight="false" outlineLevel="0" collapsed="false">
      <c r="A30" s="4" t="n">
        <v>27</v>
      </c>
      <c r="B30" s="5" t="s">
        <v>81</v>
      </c>
      <c r="C30" s="5" t="s">
        <v>82</v>
      </c>
      <c r="D30" s="4" t="s">
        <v>71</v>
      </c>
      <c r="E30" s="4" t="s">
        <v>41</v>
      </c>
      <c r="F30" s="6" t="n">
        <v>5</v>
      </c>
      <c r="G30" s="6" t="n">
        <v>1.75</v>
      </c>
      <c r="H30" s="6" t="n">
        <v>1.75</v>
      </c>
      <c r="I30" s="6" t="n">
        <v>3.25</v>
      </c>
      <c r="J30" s="11" t="n">
        <v>11.75</v>
      </c>
      <c r="K30" s="9" t="s">
        <v>25</v>
      </c>
      <c r="L30" s="4" t="s">
        <v>21</v>
      </c>
      <c r="M30" s="4" t="n">
        <v>15</v>
      </c>
      <c r="N30" s="4" t="n">
        <v>22</v>
      </c>
    </row>
    <row r="31" customFormat="false" ht="15" hidden="false" customHeight="false" outlineLevel="0" collapsed="false">
      <c r="A31" s="4" t="n">
        <v>28</v>
      </c>
      <c r="B31" s="5" t="s">
        <v>83</v>
      </c>
      <c r="C31" s="5" t="s">
        <v>84</v>
      </c>
      <c r="D31" s="4" t="s">
        <v>24</v>
      </c>
      <c r="E31" s="4" t="s">
        <v>24</v>
      </c>
      <c r="F31" s="6" t="n">
        <v>2</v>
      </c>
      <c r="G31" s="6" t="n">
        <v>2.8</v>
      </c>
      <c r="H31" s="6" t="n">
        <v>2.5</v>
      </c>
      <c r="I31" s="6" t="n">
        <v>3.85</v>
      </c>
      <c r="J31" s="11" t="n">
        <v>11.15</v>
      </c>
      <c r="K31" s="9" t="s">
        <v>25</v>
      </c>
      <c r="L31" s="4" t="s">
        <v>21</v>
      </c>
      <c r="M31" s="4" t="n">
        <v>27</v>
      </c>
      <c r="N31" s="4" t="n">
        <v>18</v>
      </c>
    </row>
    <row r="32" customFormat="false" ht="15" hidden="false" customHeight="false" outlineLevel="0" collapsed="false">
      <c r="A32" s="4" t="n">
        <v>29</v>
      </c>
      <c r="B32" s="5" t="s">
        <v>85</v>
      </c>
      <c r="C32" s="5" t="s">
        <v>86</v>
      </c>
      <c r="D32" s="4" t="s">
        <v>24</v>
      </c>
      <c r="E32" s="4" t="s">
        <v>24</v>
      </c>
      <c r="F32" s="6" t="n">
        <v>4</v>
      </c>
      <c r="G32" s="6" t="n">
        <v>1.4</v>
      </c>
      <c r="H32" s="6" t="n">
        <v>2.9</v>
      </c>
      <c r="I32" s="6" t="n">
        <v>2.6</v>
      </c>
      <c r="J32" s="11" t="n">
        <v>10.9</v>
      </c>
      <c r="K32" s="8" t="s">
        <v>20</v>
      </c>
      <c r="L32" s="4" t="s">
        <v>34</v>
      </c>
      <c r="M32" s="4" t="n">
        <v>0</v>
      </c>
      <c r="N32" s="4" t="n">
        <v>19</v>
      </c>
    </row>
    <row r="33" customFormat="false" ht="15" hidden="false" customHeight="false" outlineLevel="0" collapsed="false">
      <c r="A33" s="4" t="n">
        <v>30</v>
      </c>
      <c r="B33" s="5" t="s">
        <v>87</v>
      </c>
      <c r="C33" s="5" t="s">
        <v>88</v>
      </c>
      <c r="D33" s="4" t="s">
        <v>18</v>
      </c>
      <c r="E33" s="4" t="s">
        <v>19</v>
      </c>
      <c r="F33" s="6" t="n">
        <v>5</v>
      </c>
      <c r="G33" s="6" t="n">
        <v>1.75</v>
      </c>
      <c r="H33" s="6" t="n">
        <v>0.5</v>
      </c>
      <c r="I33" s="6" t="n">
        <v>2.45</v>
      </c>
      <c r="J33" s="12" t="n">
        <v>9.7</v>
      </c>
      <c r="K33" s="8" t="s">
        <v>20</v>
      </c>
      <c r="L33" s="4" t="s">
        <v>34</v>
      </c>
      <c r="M33" s="4" t="n">
        <v>0</v>
      </c>
      <c r="N33" s="4" t="n">
        <v>17</v>
      </c>
    </row>
    <row r="34" customFormat="false" ht="15" hidden="false" customHeight="false" outlineLevel="0" collapsed="false">
      <c r="A34" s="4" t="n">
        <v>31</v>
      </c>
      <c r="B34" s="5" t="s">
        <v>89</v>
      </c>
      <c r="C34" s="5" t="s">
        <v>80</v>
      </c>
      <c r="D34" s="4" t="s">
        <v>18</v>
      </c>
      <c r="E34" s="4" t="s">
        <v>19</v>
      </c>
      <c r="F34" s="6" t="n">
        <v>2</v>
      </c>
      <c r="G34" s="6" t="n">
        <v>2.15</v>
      </c>
      <c r="H34" s="6" t="n">
        <v>2.75</v>
      </c>
      <c r="I34" s="6" t="n">
        <v>2.1</v>
      </c>
      <c r="J34" s="12" t="n">
        <v>9</v>
      </c>
      <c r="K34" s="9" t="s">
        <v>25</v>
      </c>
      <c r="L34" s="4" t="s">
        <v>21</v>
      </c>
      <c r="M34" s="4" t="n">
        <v>28</v>
      </c>
      <c r="N34" s="4" t="n">
        <v>18</v>
      </c>
    </row>
    <row r="35" customFormat="false" ht="15" hidden="false" customHeight="false" outlineLevel="0" collapsed="false">
      <c r="A35" s="4" t="n">
        <v>32</v>
      </c>
      <c r="B35" s="5" t="s">
        <v>90</v>
      </c>
      <c r="C35" s="5" t="s">
        <v>91</v>
      </c>
      <c r="D35" s="4" t="s">
        <v>18</v>
      </c>
      <c r="E35" s="4" t="s">
        <v>19</v>
      </c>
      <c r="F35" s="6" t="n">
        <v>2</v>
      </c>
      <c r="G35" s="6" t="n">
        <v>0.25</v>
      </c>
      <c r="H35" s="6" t="n">
        <v>3.25</v>
      </c>
      <c r="I35" s="6" t="n">
        <v>3.25</v>
      </c>
      <c r="J35" s="12" t="n">
        <v>8.75</v>
      </c>
      <c r="K35" s="8" t="s">
        <v>20</v>
      </c>
      <c r="L35" s="4" t="s">
        <v>21</v>
      </c>
      <c r="M35" s="4" t="n">
        <v>0</v>
      </c>
      <c r="N35" s="4" t="n">
        <v>20</v>
      </c>
    </row>
    <row r="36" customFormat="false" ht="15" hidden="false" customHeight="false" outlineLevel="0" collapsed="false">
      <c r="A36" s="4" t="n">
        <v>33</v>
      </c>
      <c r="B36" s="5" t="s">
        <v>92</v>
      </c>
      <c r="C36" s="5" t="s">
        <v>93</v>
      </c>
      <c r="D36" s="4" t="s">
        <v>40</v>
      </c>
      <c r="E36" s="4" t="s">
        <v>41</v>
      </c>
      <c r="F36" s="6" t="n">
        <v>2</v>
      </c>
      <c r="G36" s="6" t="n">
        <v>2.25</v>
      </c>
      <c r="H36" s="6" t="n">
        <v>1.25</v>
      </c>
      <c r="I36" s="6" t="n">
        <v>2.75</v>
      </c>
      <c r="J36" s="12" t="n">
        <v>8.25</v>
      </c>
      <c r="K36" s="8" t="s">
        <v>20</v>
      </c>
      <c r="L36" s="4" t="s">
        <v>21</v>
      </c>
      <c r="M36" s="4" t="n">
        <v>11</v>
      </c>
      <c r="N36" s="4" t="n">
        <v>24</v>
      </c>
    </row>
    <row r="37" customFormat="false" ht="15" hidden="false" customHeight="false" outlineLevel="0" collapsed="false">
      <c r="A37" s="4" t="n">
        <v>34</v>
      </c>
      <c r="B37" s="5" t="s">
        <v>61</v>
      </c>
      <c r="C37" s="5" t="s">
        <v>80</v>
      </c>
      <c r="D37" s="4" t="s">
        <v>40</v>
      </c>
      <c r="E37" s="4" t="s">
        <v>41</v>
      </c>
      <c r="F37" s="6" t="n">
        <v>2</v>
      </c>
      <c r="G37" s="6" t="n">
        <v>1.5</v>
      </c>
      <c r="H37" s="6" t="n">
        <v>1.5</v>
      </c>
      <c r="I37" s="6" t="n">
        <v>3</v>
      </c>
      <c r="J37" s="12" t="n">
        <v>8</v>
      </c>
      <c r="K37" s="9" t="s">
        <v>25</v>
      </c>
      <c r="L37" s="4" t="s">
        <v>21</v>
      </c>
      <c r="M37" s="4" t="n">
        <v>35</v>
      </c>
      <c r="N37" s="4" t="n">
        <v>20</v>
      </c>
    </row>
    <row r="38" customFormat="false" ht="15" hidden="false" customHeight="false" outlineLevel="0" collapsed="false">
      <c r="A38" s="4" t="n">
        <v>35</v>
      </c>
      <c r="B38" s="5" t="s">
        <v>94</v>
      </c>
      <c r="C38" s="5" t="s">
        <v>95</v>
      </c>
      <c r="D38" s="4" t="s">
        <v>18</v>
      </c>
      <c r="E38" s="4" t="s">
        <v>19</v>
      </c>
      <c r="F38" s="6" t="n">
        <v>4</v>
      </c>
      <c r="G38" s="6" t="n">
        <v>0.75</v>
      </c>
      <c r="H38" s="6" t="n">
        <v>2</v>
      </c>
      <c r="I38" s="6" t="n">
        <v>1</v>
      </c>
      <c r="J38" s="12" t="n">
        <v>7.75</v>
      </c>
      <c r="K38" s="9" t="s">
        <v>25</v>
      </c>
      <c r="L38" s="4" t="s">
        <v>21</v>
      </c>
      <c r="M38" s="4" t="n">
        <v>34</v>
      </c>
      <c r="N38" s="4" t="n">
        <v>21</v>
      </c>
    </row>
    <row r="39" customFormat="false" ht="15" hidden="false" customHeight="false" outlineLevel="0" collapsed="false">
      <c r="A39" s="4" t="n">
        <v>36</v>
      </c>
      <c r="B39" s="5" t="s">
        <v>96</v>
      </c>
      <c r="C39" s="5" t="s">
        <v>97</v>
      </c>
      <c r="D39" s="4" t="s">
        <v>71</v>
      </c>
      <c r="E39" s="4" t="s">
        <v>41</v>
      </c>
      <c r="F39" s="6" t="n">
        <v>3</v>
      </c>
      <c r="G39" s="6" t="n">
        <v>1.5</v>
      </c>
      <c r="H39" s="6" t="n">
        <v>0</v>
      </c>
      <c r="I39" s="6" t="n">
        <v>3.05</v>
      </c>
      <c r="J39" s="12" t="n">
        <v>7.55</v>
      </c>
      <c r="K39" s="8" t="s">
        <v>20</v>
      </c>
      <c r="L39" s="4" t="s">
        <v>34</v>
      </c>
      <c r="M39" s="4" t="n">
        <v>0</v>
      </c>
      <c r="N39" s="4" t="n">
        <v>22</v>
      </c>
    </row>
    <row r="40" customFormat="false" ht="15" hidden="false" customHeight="false" outlineLevel="0" collapsed="false">
      <c r="A40" s="4" t="n">
        <v>37</v>
      </c>
      <c r="B40" s="5" t="s">
        <v>98</v>
      </c>
      <c r="C40" s="5" t="s">
        <v>99</v>
      </c>
      <c r="D40" s="4" t="s">
        <v>18</v>
      </c>
      <c r="E40" s="4" t="s">
        <v>19</v>
      </c>
      <c r="F40" s="6" t="n">
        <v>5</v>
      </c>
      <c r="G40" s="6" t="n">
        <v>0</v>
      </c>
      <c r="H40" s="6" t="n">
        <v>1.5</v>
      </c>
      <c r="I40" s="6" t="n">
        <v>0.75</v>
      </c>
      <c r="J40" s="12" t="n">
        <v>7.25</v>
      </c>
      <c r="K40" s="8" t="s">
        <v>20</v>
      </c>
      <c r="L40" s="4" t="s">
        <v>21</v>
      </c>
      <c r="M40" s="4" t="n">
        <v>0</v>
      </c>
      <c r="N40" s="4" t="n">
        <v>27</v>
      </c>
    </row>
    <row r="41" customFormat="false" ht="15" hidden="false" customHeight="false" outlineLevel="0" collapsed="false">
      <c r="A41" s="4" t="n">
        <v>38</v>
      </c>
      <c r="B41" s="5" t="s">
        <v>100</v>
      </c>
      <c r="C41" s="5" t="s">
        <v>101</v>
      </c>
      <c r="D41" s="4" t="s">
        <v>18</v>
      </c>
      <c r="E41" s="4" t="s">
        <v>19</v>
      </c>
      <c r="F41" s="6" t="n">
        <v>5</v>
      </c>
      <c r="G41" s="6" t="n">
        <v>0.25</v>
      </c>
      <c r="H41" s="6" t="n">
        <v>0.5</v>
      </c>
      <c r="I41" s="6" t="n">
        <v>0.5</v>
      </c>
      <c r="J41" s="12" t="n">
        <v>6.25</v>
      </c>
      <c r="K41" s="8" t="s">
        <v>20</v>
      </c>
      <c r="L41" s="4" t="s">
        <v>21</v>
      </c>
      <c r="M41" s="4" t="n">
        <v>11</v>
      </c>
      <c r="N41" s="4" t="n">
        <v>27</v>
      </c>
    </row>
    <row r="42" customFormat="false" ht="15" hidden="false" customHeight="false" outlineLevel="0" collapsed="false">
      <c r="A42" s="4" t="n">
        <v>39</v>
      </c>
      <c r="B42" s="5" t="s">
        <v>102</v>
      </c>
      <c r="C42" s="5" t="s">
        <v>103</v>
      </c>
      <c r="D42" s="4" t="s">
        <v>48</v>
      </c>
      <c r="E42" s="4" t="s">
        <v>41</v>
      </c>
      <c r="F42" s="6" t="n">
        <v>3</v>
      </c>
      <c r="G42" s="6" t="n">
        <v>0.75</v>
      </c>
      <c r="H42" s="6" t="n">
        <v>1.25</v>
      </c>
      <c r="I42" s="6" t="n">
        <v>1.25</v>
      </c>
      <c r="J42" s="12" t="n">
        <v>6.25</v>
      </c>
      <c r="K42" s="8" t="s">
        <v>20</v>
      </c>
      <c r="L42" s="4" t="s">
        <v>34</v>
      </c>
      <c r="M42" s="4" t="n">
        <v>0</v>
      </c>
      <c r="N42" s="4" t="n">
        <v>20</v>
      </c>
    </row>
    <row r="43" customFormat="false" ht="15" hidden="false" customHeight="false" outlineLevel="0" collapsed="false">
      <c r="A43" s="4" t="n">
        <v>40</v>
      </c>
      <c r="B43" s="5" t="s">
        <v>104</v>
      </c>
      <c r="C43" s="5" t="s">
        <v>105</v>
      </c>
      <c r="D43" s="4" t="s">
        <v>74</v>
      </c>
      <c r="E43" s="4" t="s">
        <v>19</v>
      </c>
      <c r="F43" s="6" t="n">
        <v>5</v>
      </c>
      <c r="G43" s="6" t="n">
        <v>0</v>
      </c>
      <c r="H43" s="6" t="n">
        <v>0</v>
      </c>
      <c r="I43" s="6" t="n">
        <v>0</v>
      </c>
      <c r="J43" s="12" t="n">
        <v>5</v>
      </c>
      <c r="K43" s="8" t="s">
        <v>20</v>
      </c>
      <c r="L43" s="4" t="s">
        <v>106</v>
      </c>
      <c r="M43" s="4" t="n">
        <v>0</v>
      </c>
      <c r="N43" s="4" t="n">
        <v>0</v>
      </c>
    </row>
    <row r="44" customFormat="false" ht="15" hidden="false" customHeight="false" outlineLevel="0" collapsed="false">
      <c r="A44" s="4" t="n">
        <v>41</v>
      </c>
      <c r="B44" s="5" t="s">
        <v>107</v>
      </c>
      <c r="C44" s="5" t="s">
        <v>108</v>
      </c>
      <c r="D44" s="4" t="s">
        <v>53</v>
      </c>
      <c r="E44" s="4" t="s">
        <v>29</v>
      </c>
      <c r="F44" s="6" t="n">
        <v>5</v>
      </c>
      <c r="G44" s="6" t="n">
        <v>0</v>
      </c>
      <c r="H44" s="6" t="n">
        <v>0</v>
      </c>
      <c r="I44" s="6" t="n">
        <v>0</v>
      </c>
      <c r="J44" s="12" t="n">
        <v>5</v>
      </c>
      <c r="K44" s="8" t="s">
        <v>20</v>
      </c>
      <c r="L44" s="4" t="s">
        <v>106</v>
      </c>
      <c r="M44" s="4" t="n">
        <v>0</v>
      </c>
      <c r="N44" s="4" t="n">
        <v>0</v>
      </c>
    </row>
    <row r="45" customFormat="false" ht="15" hidden="false" customHeight="false" outlineLevel="0" collapsed="false">
      <c r="A45" s="4" t="n">
        <v>42</v>
      </c>
      <c r="B45" s="5" t="s">
        <v>109</v>
      </c>
      <c r="C45" s="5" t="s">
        <v>110</v>
      </c>
      <c r="D45" s="4" t="s">
        <v>24</v>
      </c>
      <c r="E45" s="4" t="s">
        <v>24</v>
      </c>
      <c r="F45" s="6" t="n">
        <v>5</v>
      </c>
      <c r="G45" s="6" t="n">
        <v>0</v>
      </c>
      <c r="H45" s="6" t="n">
        <v>0</v>
      </c>
      <c r="I45" s="6" t="n">
        <v>0</v>
      </c>
      <c r="J45" s="12" t="n">
        <v>5</v>
      </c>
      <c r="K45" s="8" t="s">
        <v>20</v>
      </c>
      <c r="L45" s="4" t="s">
        <v>106</v>
      </c>
      <c r="M45" s="4" t="n">
        <v>0</v>
      </c>
      <c r="N45" s="4" t="n">
        <v>0</v>
      </c>
    </row>
    <row r="46" customFormat="false" ht="15" hidden="false" customHeight="false" outlineLevel="0" collapsed="false">
      <c r="A46" s="4" t="n">
        <v>43</v>
      </c>
      <c r="B46" s="5" t="s">
        <v>111</v>
      </c>
      <c r="C46" s="5" t="s">
        <v>112</v>
      </c>
      <c r="D46" s="4" t="s">
        <v>74</v>
      </c>
      <c r="E46" s="4" t="s">
        <v>19</v>
      </c>
      <c r="F46" s="6" t="n">
        <v>2</v>
      </c>
      <c r="G46" s="6" t="n">
        <v>0</v>
      </c>
      <c r="H46" s="6" t="n">
        <v>1.25</v>
      </c>
      <c r="I46" s="6" t="n">
        <v>1.25</v>
      </c>
      <c r="J46" s="12" t="n">
        <v>4.5</v>
      </c>
      <c r="K46" s="9" t="s">
        <v>25</v>
      </c>
      <c r="L46" s="4" t="s">
        <v>21</v>
      </c>
      <c r="M46" s="4" t="n">
        <v>30</v>
      </c>
      <c r="N46" s="4" t="n">
        <v>25</v>
      </c>
    </row>
    <row r="47" customFormat="false" ht="15" hidden="false" customHeight="false" outlineLevel="0" collapsed="false">
      <c r="A47" s="4" t="n">
        <v>44</v>
      </c>
      <c r="B47" s="5" t="s">
        <v>113</v>
      </c>
      <c r="C47" s="5" t="s">
        <v>114</v>
      </c>
      <c r="D47" s="4" t="s">
        <v>18</v>
      </c>
      <c r="E47" s="4" t="s">
        <v>19</v>
      </c>
      <c r="F47" s="6" t="n">
        <v>4</v>
      </c>
      <c r="G47" s="6" t="n">
        <v>0</v>
      </c>
      <c r="H47" s="6" t="n">
        <v>0</v>
      </c>
      <c r="I47" s="6" t="n">
        <v>0</v>
      </c>
      <c r="J47" s="12" t="n">
        <v>4</v>
      </c>
      <c r="K47" s="8" t="s">
        <v>20</v>
      </c>
      <c r="L47" s="4" t="s">
        <v>106</v>
      </c>
      <c r="M47" s="4" t="n">
        <v>0</v>
      </c>
      <c r="N47" s="4" t="n">
        <v>0</v>
      </c>
    </row>
    <row r="48" customFormat="false" ht="15" hidden="false" customHeight="false" outlineLevel="0" collapsed="false">
      <c r="A48" s="4" t="n">
        <v>45</v>
      </c>
      <c r="B48" s="5" t="s">
        <v>115</v>
      </c>
      <c r="C48" s="5" t="s">
        <v>45</v>
      </c>
      <c r="D48" s="4" t="s">
        <v>28</v>
      </c>
      <c r="E48" s="4" t="s">
        <v>29</v>
      </c>
      <c r="F48" s="6" t="n">
        <v>4</v>
      </c>
      <c r="G48" s="6" t="n">
        <v>0</v>
      </c>
      <c r="H48" s="6" t="n">
        <v>0</v>
      </c>
      <c r="I48" s="6" t="n">
        <v>0</v>
      </c>
      <c r="J48" s="12" t="n">
        <v>4</v>
      </c>
      <c r="K48" s="8" t="s">
        <v>20</v>
      </c>
      <c r="L48" s="4" t="s">
        <v>106</v>
      </c>
      <c r="M48" s="4" t="n">
        <v>0</v>
      </c>
      <c r="N48" s="4" t="n">
        <v>0</v>
      </c>
    </row>
    <row r="49" customFormat="false" ht="15" hidden="false" customHeight="false" outlineLevel="0" collapsed="false">
      <c r="A49" s="4" t="n">
        <v>46</v>
      </c>
      <c r="B49" s="5" t="s">
        <v>116</v>
      </c>
      <c r="C49" s="5" t="s">
        <v>117</v>
      </c>
      <c r="D49" s="4" t="s">
        <v>24</v>
      </c>
      <c r="E49" s="4" t="s">
        <v>24</v>
      </c>
      <c r="F49" s="6" t="n">
        <v>3</v>
      </c>
      <c r="G49" s="6" t="n">
        <v>0</v>
      </c>
      <c r="H49" s="6" t="n">
        <v>0</v>
      </c>
      <c r="I49" s="6" t="n">
        <v>0</v>
      </c>
      <c r="J49" s="12" t="n">
        <v>3</v>
      </c>
      <c r="K49" s="8" t="s">
        <v>20</v>
      </c>
      <c r="L49" s="4" t="s">
        <v>106</v>
      </c>
      <c r="M49" s="4" t="n">
        <v>0</v>
      </c>
      <c r="N49" s="4" t="n">
        <v>0</v>
      </c>
    </row>
    <row r="50" customFormat="false" ht="15" hidden="false" customHeight="false" outlineLevel="0" collapsed="false">
      <c r="A50" s="4" t="n">
        <v>47</v>
      </c>
      <c r="B50" s="5" t="s">
        <v>118</v>
      </c>
      <c r="C50" s="5" t="s">
        <v>119</v>
      </c>
      <c r="D50" s="4" t="s">
        <v>18</v>
      </c>
      <c r="E50" s="4" t="s">
        <v>19</v>
      </c>
      <c r="F50" s="6" t="n">
        <v>2</v>
      </c>
      <c r="G50" s="6" t="n">
        <v>0</v>
      </c>
      <c r="H50" s="6" t="n">
        <v>0</v>
      </c>
      <c r="I50" s="6" t="n">
        <v>0</v>
      </c>
      <c r="J50" s="12" t="n">
        <v>2</v>
      </c>
      <c r="K50" s="8" t="s">
        <v>20</v>
      </c>
      <c r="L50" s="4" t="s">
        <v>106</v>
      </c>
      <c r="M50" s="4" t="n">
        <v>0</v>
      </c>
      <c r="N50" s="4" t="n">
        <v>0</v>
      </c>
    </row>
    <row r="52" customFormat="false" ht="15" hidden="false" customHeight="false" outlineLevel="0" collapsed="false">
      <c r="F52" s="13" t="n">
        <f aca="false">AVERAGE(F4:F50)</f>
        <v>4.12765957446809</v>
      </c>
      <c r="G52" s="13" t="n">
        <f aca="false">AVERAGE(G4:G50)</f>
        <v>2.32978723404255</v>
      </c>
      <c r="H52" s="13" t="n">
        <f aca="false">AVERAGE(H4:H50)</f>
        <v>2.37553191489362</v>
      </c>
      <c r="I52" s="14" t="n">
        <f aca="false">AVERAGE(I4:I50)</f>
        <v>3.27234042553192</v>
      </c>
      <c r="J52" s="15" t="n">
        <f aca="false">AVERAGE(J4:J50)</f>
        <v>12.1053191489362</v>
      </c>
    </row>
    <row r="53" customFormat="false" ht="15" hidden="false" customHeight="false" outlineLevel="0" collapsed="false">
      <c r="I53" s="16" t="s">
        <v>120</v>
      </c>
      <c r="J53" s="15" t="n">
        <f aca="false">MEDIAN(J4:J50)</f>
        <v>12.8</v>
      </c>
    </row>
    <row r="54" customFormat="false" ht="15" hidden="false" customHeight="false" outlineLevel="0" collapsed="false">
      <c r="I54" s="16" t="s">
        <v>121</v>
      </c>
      <c r="J54" s="15" t="n">
        <f aca="false">MIN(J4:J50)</f>
        <v>2</v>
      </c>
    </row>
    <row r="55" customFormat="false" ht="15" hidden="false" customHeight="false" outlineLevel="0" collapsed="false">
      <c r="I55" s="16" t="s">
        <v>122</v>
      </c>
      <c r="J55" s="15" t="n">
        <f aca="false">MAX(J4:J50)</f>
        <v>20</v>
      </c>
    </row>
  </sheetData>
  <autoFilter ref="A3:N50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N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9" min="6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125</v>
      </c>
      <c r="G3" s="3" t="s">
        <v>126</v>
      </c>
      <c r="H3" s="3" t="s">
        <v>127</v>
      </c>
      <c r="I3" s="3" t="s">
        <v>128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n">
        <v>1</v>
      </c>
      <c r="B4" s="5" t="s">
        <v>129</v>
      </c>
      <c r="C4" s="5" t="s">
        <v>130</v>
      </c>
      <c r="D4" s="4" t="s">
        <v>131</v>
      </c>
      <c r="E4" s="4" t="s">
        <v>131</v>
      </c>
      <c r="F4" s="6" t="n">
        <v>5</v>
      </c>
      <c r="G4" s="6" t="n">
        <v>5</v>
      </c>
      <c r="H4" s="6" t="n">
        <v>5</v>
      </c>
      <c r="I4" s="6" t="n">
        <v>5</v>
      </c>
      <c r="J4" s="7" t="n">
        <v>20</v>
      </c>
      <c r="K4" s="8" t="s">
        <v>20</v>
      </c>
      <c r="L4" s="4" t="s">
        <v>132</v>
      </c>
      <c r="M4" s="4" t="n">
        <v>0</v>
      </c>
      <c r="N4" s="4" t="n">
        <v>5</v>
      </c>
    </row>
    <row r="5" customFormat="false" ht="15" hidden="false" customHeight="false" outlineLevel="0" collapsed="false">
      <c r="A5" s="4" t="n">
        <v>2</v>
      </c>
      <c r="B5" s="5" t="s">
        <v>133</v>
      </c>
      <c r="C5" s="5" t="s">
        <v>27</v>
      </c>
      <c r="D5" s="4" t="s">
        <v>131</v>
      </c>
      <c r="E5" s="4" t="s">
        <v>131</v>
      </c>
      <c r="F5" s="6" t="n">
        <v>5</v>
      </c>
      <c r="G5" s="6" t="n">
        <v>5</v>
      </c>
      <c r="H5" s="6" t="n">
        <v>4.75</v>
      </c>
      <c r="I5" s="6" t="n">
        <v>4.75</v>
      </c>
      <c r="J5" s="7" t="n">
        <v>19.5</v>
      </c>
      <c r="K5" s="9" t="s">
        <v>25</v>
      </c>
      <c r="L5" s="4" t="s">
        <v>132</v>
      </c>
      <c r="M5" s="4" t="n">
        <v>2</v>
      </c>
      <c r="N5" s="4" t="n">
        <v>5</v>
      </c>
    </row>
    <row r="6" customFormat="false" ht="15" hidden="false" customHeight="false" outlineLevel="0" collapsed="false">
      <c r="A6" s="4" t="n">
        <v>3</v>
      </c>
      <c r="B6" s="5" t="s">
        <v>134</v>
      </c>
      <c r="C6" s="5" t="s">
        <v>135</v>
      </c>
      <c r="D6" s="4" t="s">
        <v>37</v>
      </c>
      <c r="E6" s="4" t="s">
        <v>136</v>
      </c>
      <c r="F6" s="6" t="n">
        <v>5</v>
      </c>
      <c r="G6" s="6" t="n">
        <v>4.5</v>
      </c>
      <c r="H6" s="6" t="n">
        <v>4.75</v>
      </c>
      <c r="I6" s="6" t="n">
        <v>4.75</v>
      </c>
      <c r="J6" s="7" t="n">
        <v>19</v>
      </c>
      <c r="K6" s="9" t="s">
        <v>25</v>
      </c>
      <c r="L6" s="4" t="s">
        <v>137</v>
      </c>
      <c r="M6" s="4" t="n">
        <v>0</v>
      </c>
      <c r="N6" s="4" t="n">
        <v>5</v>
      </c>
    </row>
    <row r="7" customFormat="false" ht="15" hidden="false" customHeight="false" outlineLevel="0" collapsed="false">
      <c r="A7" s="4" t="n">
        <v>4</v>
      </c>
      <c r="B7" s="5" t="s">
        <v>138</v>
      </c>
      <c r="C7" s="5" t="s">
        <v>139</v>
      </c>
      <c r="D7" s="4" t="s">
        <v>131</v>
      </c>
      <c r="E7" s="4" t="s">
        <v>131</v>
      </c>
      <c r="F7" s="6" t="n">
        <v>5</v>
      </c>
      <c r="G7" s="6" t="n">
        <v>4.25</v>
      </c>
      <c r="H7" s="6" t="n">
        <v>4.75</v>
      </c>
      <c r="I7" s="6" t="n">
        <v>5</v>
      </c>
      <c r="J7" s="7" t="n">
        <v>19</v>
      </c>
      <c r="K7" s="9" t="s">
        <v>25</v>
      </c>
      <c r="L7" s="4" t="s">
        <v>137</v>
      </c>
      <c r="M7" s="4" t="n">
        <v>0</v>
      </c>
      <c r="N7" s="4" t="n">
        <v>9</v>
      </c>
    </row>
    <row r="8" customFormat="false" ht="15" hidden="false" customHeight="false" outlineLevel="0" collapsed="false">
      <c r="A8" s="4" t="n">
        <v>5</v>
      </c>
      <c r="B8" s="5" t="s">
        <v>140</v>
      </c>
      <c r="C8" s="5" t="s">
        <v>141</v>
      </c>
      <c r="D8" s="4" t="s">
        <v>53</v>
      </c>
      <c r="E8" s="4" t="s">
        <v>142</v>
      </c>
      <c r="F8" s="6" t="n">
        <v>4</v>
      </c>
      <c r="G8" s="6" t="n">
        <v>5</v>
      </c>
      <c r="H8" s="6" t="n">
        <v>5</v>
      </c>
      <c r="I8" s="6" t="n">
        <v>4.75</v>
      </c>
      <c r="J8" s="7" t="n">
        <v>18.75</v>
      </c>
      <c r="K8" s="8" t="s">
        <v>20</v>
      </c>
      <c r="L8" s="4" t="s">
        <v>143</v>
      </c>
      <c r="M8" s="4" t="n">
        <v>0</v>
      </c>
      <c r="N8" s="4" t="n">
        <v>0</v>
      </c>
    </row>
    <row r="9" customFormat="false" ht="15" hidden="false" customHeight="false" outlineLevel="0" collapsed="false">
      <c r="A9" s="4" t="n">
        <v>6</v>
      </c>
      <c r="B9" s="5" t="s">
        <v>129</v>
      </c>
      <c r="C9" s="5" t="s">
        <v>144</v>
      </c>
      <c r="D9" s="4" t="s">
        <v>74</v>
      </c>
      <c r="E9" s="4" t="s">
        <v>145</v>
      </c>
      <c r="F9" s="6" t="n">
        <v>4</v>
      </c>
      <c r="G9" s="6" t="n">
        <v>4.75</v>
      </c>
      <c r="H9" s="6" t="n">
        <v>5</v>
      </c>
      <c r="I9" s="6" t="n">
        <v>4.5</v>
      </c>
      <c r="J9" s="7" t="n">
        <v>18.25</v>
      </c>
      <c r="K9" s="8" t="s">
        <v>20</v>
      </c>
      <c r="L9" s="4" t="s">
        <v>137</v>
      </c>
      <c r="M9" s="4" t="n">
        <v>0</v>
      </c>
      <c r="N9" s="4" t="n">
        <v>9</v>
      </c>
    </row>
    <row r="10" customFormat="false" ht="15" hidden="false" customHeight="false" outlineLevel="0" collapsed="false">
      <c r="A10" s="4" t="n">
        <v>7</v>
      </c>
      <c r="B10" s="5" t="s">
        <v>146</v>
      </c>
      <c r="C10" s="5" t="s">
        <v>147</v>
      </c>
      <c r="D10" s="4" t="s">
        <v>131</v>
      </c>
      <c r="E10" s="4" t="s">
        <v>131</v>
      </c>
      <c r="F10" s="6" t="n">
        <v>5</v>
      </c>
      <c r="G10" s="6" t="n">
        <v>3.75</v>
      </c>
      <c r="H10" s="6" t="n">
        <v>4.75</v>
      </c>
      <c r="I10" s="6" t="n">
        <v>4.75</v>
      </c>
      <c r="J10" s="7" t="n">
        <v>18.25</v>
      </c>
      <c r="K10" s="9" t="s">
        <v>25</v>
      </c>
      <c r="L10" s="4" t="s">
        <v>137</v>
      </c>
      <c r="M10" s="4" t="n">
        <v>0</v>
      </c>
      <c r="N10" s="4" t="n">
        <v>11</v>
      </c>
    </row>
    <row r="11" customFormat="false" ht="15" hidden="false" customHeight="false" outlineLevel="0" collapsed="false">
      <c r="A11" s="4" t="n">
        <v>8</v>
      </c>
      <c r="B11" s="5" t="s">
        <v>148</v>
      </c>
      <c r="C11" s="5" t="s">
        <v>149</v>
      </c>
      <c r="D11" s="4" t="s">
        <v>53</v>
      </c>
      <c r="E11" s="4" t="s">
        <v>142</v>
      </c>
      <c r="F11" s="6" t="n">
        <v>5</v>
      </c>
      <c r="G11" s="6" t="n">
        <v>4</v>
      </c>
      <c r="H11" s="6" t="n">
        <v>4.5</v>
      </c>
      <c r="I11" s="6" t="n">
        <v>4.75</v>
      </c>
      <c r="J11" s="7" t="n">
        <v>18.25</v>
      </c>
      <c r="K11" s="9" t="s">
        <v>25</v>
      </c>
      <c r="L11" s="4" t="s">
        <v>137</v>
      </c>
      <c r="M11" s="4" t="n">
        <v>0</v>
      </c>
      <c r="N11" s="4" t="n">
        <v>10</v>
      </c>
    </row>
    <row r="12" customFormat="false" ht="15" hidden="false" customHeight="false" outlineLevel="0" collapsed="false">
      <c r="A12" s="4" t="n">
        <v>9</v>
      </c>
      <c r="B12" s="5" t="s">
        <v>150</v>
      </c>
      <c r="C12" s="5" t="s">
        <v>151</v>
      </c>
      <c r="D12" s="4" t="s">
        <v>18</v>
      </c>
      <c r="E12" s="4" t="s">
        <v>136</v>
      </c>
      <c r="F12" s="6" t="n">
        <v>5</v>
      </c>
      <c r="G12" s="6" t="n">
        <v>4.75</v>
      </c>
      <c r="H12" s="6" t="n">
        <v>4</v>
      </c>
      <c r="I12" s="6" t="n">
        <v>4.5</v>
      </c>
      <c r="J12" s="7" t="n">
        <v>18.25</v>
      </c>
      <c r="K12" s="9" t="s">
        <v>25</v>
      </c>
      <c r="L12" s="4" t="s">
        <v>137</v>
      </c>
      <c r="M12" s="4" t="n">
        <v>0</v>
      </c>
      <c r="N12" s="4" t="n">
        <v>10</v>
      </c>
    </row>
    <row r="13" customFormat="false" ht="15" hidden="false" customHeight="false" outlineLevel="0" collapsed="false">
      <c r="A13" s="4" t="n">
        <v>10</v>
      </c>
      <c r="B13" s="5" t="s">
        <v>152</v>
      </c>
      <c r="C13" s="5" t="s">
        <v>153</v>
      </c>
      <c r="D13" s="4" t="s">
        <v>131</v>
      </c>
      <c r="E13" s="4" t="s">
        <v>131</v>
      </c>
      <c r="F13" s="6" t="n">
        <v>5</v>
      </c>
      <c r="G13" s="6" t="n">
        <v>4</v>
      </c>
      <c r="H13" s="6" t="n">
        <v>4.5</v>
      </c>
      <c r="I13" s="6" t="n">
        <v>4.25</v>
      </c>
      <c r="J13" s="7" t="n">
        <v>17.75</v>
      </c>
      <c r="K13" s="9" t="s">
        <v>25</v>
      </c>
      <c r="L13" s="4" t="s">
        <v>137</v>
      </c>
      <c r="M13" s="4" t="n">
        <v>0</v>
      </c>
      <c r="N13" s="4" t="n">
        <v>8</v>
      </c>
    </row>
    <row r="14" customFormat="false" ht="15" hidden="false" customHeight="false" outlineLevel="0" collapsed="false">
      <c r="A14" s="4" t="n">
        <v>11</v>
      </c>
      <c r="B14" s="5" t="s">
        <v>129</v>
      </c>
      <c r="C14" s="5" t="s">
        <v>154</v>
      </c>
      <c r="D14" s="4" t="s">
        <v>71</v>
      </c>
      <c r="E14" s="4" t="s">
        <v>136</v>
      </c>
      <c r="F14" s="6" t="n">
        <v>5</v>
      </c>
      <c r="G14" s="6" t="n">
        <v>4.25</v>
      </c>
      <c r="H14" s="6" t="n">
        <v>4.5</v>
      </c>
      <c r="I14" s="6" t="n">
        <v>3.75</v>
      </c>
      <c r="J14" s="7" t="n">
        <v>17.5</v>
      </c>
      <c r="K14" s="9" t="s">
        <v>25</v>
      </c>
      <c r="L14" s="4" t="s">
        <v>137</v>
      </c>
      <c r="M14" s="4" t="n">
        <v>0</v>
      </c>
      <c r="N14" s="4" t="n">
        <v>8</v>
      </c>
    </row>
    <row r="15" customFormat="false" ht="15" hidden="false" customHeight="false" outlineLevel="0" collapsed="false">
      <c r="A15" s="4" t="n">
        <v>12</v>
      </c>
      <c r="B15" s="5" t="s">
        <v>155</v>
      </c>
      <c r="C15" s="5" t="s">
        <v>64</v>
      </c>
      <c r="D15" s="4" t="s">
        <v>71</v>
      </c>
      <c r="E15" s="4" t="s">
        <v>136</v>
      </c>
      <c r="F15" s="6" t="n">
        <v>4</v>
      </c>
      <c r="G15" s="6" t="n">
        <v>4.25</v>
      </c>
      <c r="H15" s="6" t="n">
        <v>4.75</v>
      </c>
      <c r="I15" s="6" t="n">
        <v>4</v>
      </c>
      <c r="J15" s="7" t="n">
        <v>17</v>
      </c>
      <c r="K15" s="9" t="s">
        <v>25</v>
      </c>
      <c r="L15" s="4" t="s">
        <v>132</v>
      </c>
      <c r="M15" s="4" t="n">
        <v>0</v>
      </c>
      <c r="N15" s="4" t="n">
        <v>9</v>
      </c>
    </row>
    <row r="16" customFormat="false" ht="15" hidden="false" customHeight="false" outlineLevel="0" collapsed="false">
      <c r="A16" s="4" t="n">
        <v>13</v>
      </c>
      <c r="B16" s="5" t="s">
        <v>156</v>
      </c>
      <c r="C16" s="5" t="s">
        <v>157</v>
      </c>
      <c r="D16" s="4" t="s">
        <v>53</v>
      </c>
      <c r="E16" s="4" t="s">
        <v>142</v>
      </c>
      <c r="F16" s="6" t="n">
        <v>3</v>
      </c>
      <c r="G16" s="6" t="n">
        <v>4.75</v>
      </c>
      <c r="H16" s="6" t="n">
        <v>3.75</v>
      </c>
      <c r="I16" s="6" t="n">
        <v>4</v>
      </c>
      <c r="J16" s="10" t="n">
        <v>15.5</v>
      </c>
      <c r="K16" s="8" t="s">
        <v>20</v>
      </c>
      <c r="L16" s="4" t="s">
        <v>143</v>
      </c>
      <c r="M16" s="4" t="n">
        <v>0</v>
      </c>
      <c r="N16" s="4" t="n">
        <v>8</v>
      </c>
    </row>
    <row r="17" customFormat="false" ht="15" hidden="false" customHeight="false" outlineLevel="0" collapsed="false">
      <c r="A17" s="4" t="n">
        <v>14</v>
      </c>
      <c r="B17" s="5" t="s">
        <v>158</v>
      </c>
      <c r="C17" s="5" t="s">
        <v>159</v>
      </c>
      <c r="D17" s="4" t="s">
        <v>53</v>
      </c>
      <c r="E17" s="4" t="s">
        <v>142</v>
      </c>
      <c r="F17" s="6" t="n">
        <v>5</v>
      </c>
      <c r="G17" s="6" t="n">
        <v>4</v>
      </c>
      <c r="H17" s="6" t="n">
        <v>4.5</v>
      </c>
      <c r="I17" s="6" t="n">
        <v>1.25</v>
      </c>
      <c r="J17" s="10" t="n">
        <v>14.75</v>
      </c>
      <c r="K17" s="8" t="s">
        <v>20</v>
      </c>
      <c r="L17" s="4" t="s">
        <v>143</v>
      </c>
      <c r="M17" s="4" t="n">
        <v>0</v>
      </c>
      <c r="N17" s="4" t="n">
        <v>4</v>
      </c>
    </row>
    <row r="18" customFormat="false" ht="15" hidden="false" customHeight="false" outlineLevel="0" collapsed="false">
      <c r="A18" s="4" t="n">
        <v>15</v>
      </c>
      <c r="B18" s="5" t="s">
        <v>160</v>
      </c>
      <c r="C18" s="5" t="s">
        <v>161</v>
      </c>
      <c r="D18" s="4" t="s">
        <v>131</v>
      </c>
      <c r="E18" s="4" t="s">
        <v>131</v>
      </c>
      <c r="F18" s="6" t="n">
        <v>3</v>
      </c>
      <c r="G18" s="6" t="n">
        <v>4</v>
      </c>
      <c r="H18" s="6" t="n">
        <v>2.75</v>
      </c>
      <c r="I18" s="6" t="n">
        <v>5</v>
      </c>
      <c r="J18" s="10" t="n">
        <v>14.75</v>
      </c>
      <c r="K18" s="9" t="s">
        <v>25</v>
      </c>
      <c r="L18" s="4" t="s">
        <v>137</v>
      </c>
      <c r="M18" s="4" t="n">
        <v>0</v>
      </c>
      <c r="N18" s="4" t="n">
        <v>9</v>
      </c>
    </row>
    <row r="19" customFormat="false" ht="15" hidden="false" customHeight="false" outlineLevel="0" collapsed="false">
      <c r="A19" s="4" t="n">
        <v>16</v>
      </c>
      <c r="B19" s="5" t="s">
        <v>162</v>
      </c>
      <c r="C19" s="5" t="s">
        <v>91</v>
      </c>
      <c r="D19" s="4" t="s">
        <v>48</v>
      </c>
      <c r="E19" s="4" t="s">
        <v>145</v>
      </c>
      <c r="F19" s="6" t="n">
        <v>3</v>
      </c>
      <c r="G19" s="6" t="n">
        <v>3.75</v>
      </c>
      <c r="H19" s="6" t="n">
        <v>4</v>
      </c>
      <c r="I19" s="6" t="n">
        <v>3.75</v>
      </c>
      <c r="J19" s="10" t="n">
        <v>14.5</v>
      </c>
      <c r="K19" s="9" t="s">
        <v>25</v>
      </c>
      <c r="L19" s="4" t="s">
        <v>137</v>
      </c>
      <c r="M19" s="4" t="n">
        <v>0</v>
      </c>
      <c r="N19" s="4" t="n">
        <v>13</v>
      </c>
    </row>
    <row r="20" customFormat="false" ht="15" hidden="false" customHeight="false" outlineLevel="0" collapsed="false">
      <c r="A20" s="4" t="n">
        <v>17</v>
      </c>
      <c r="B20" s="5" t="s">
        <v>163</v>
      </c>
      <c r="C20" s="5" t="s">
        <v>64</v>
      </c>
      <c r="D20" s="4" t="s">
        <v>131</v>
      </c>
      <c r="E20" s="4" t="s">
        <v>131</v>
      </c>
      <c r="F20" s="6" t="n">
        <v>5</v>
      </c>
      <c r="G20" s="6" t="n">
        <v>3.75</v>
      </c>
      <c r="H20" s="6" t="n">
        <v>2.5</v>
      </c>
      <c r="I20" s="6" t="n">
        <v>3.25</v>
      </c>
      <c r="J20" s="10" t="n">
        <v>14.5</v>
      </c>
      <c r="K20" s="9" t="s">
        <v>25</v>
      </c>
      <c r="L20" s="4" t="s">
        <v>137</v>
      </c>
      <c r="M20" s="4" t="n">
        <v>0</v>
      </c>
      <c r="N20" s="4" t="n">
        <v>19</v>
      </c>
    </row>
    <row r="21" customFormat="false" ht="15" hidden="false" customHeight="false" outlineLevel="0" collapsed="false">
      <c r="A21" s="4" t="n">
        <v>18</v>
      </c>
      <c r="B21" s="5" t="s">
        <v>164</v>
      </c>
      <c r="C21" s="5" t="s">
        <v>165</v>
      </c>
      <c r="D21" s="4" t="s">
        <v>53</v>
      </c>
      <c r="E21" s="4" t="s">
        <v>142</v>
      </c>
      <c r="F21" s="6" t="n">
        <v>2.5</v>
      </c>
      <c r="G21" s="6" t="n">
        <v>3.75</v>
      </c>
      <c r="H21" s="6" t="n">
        <v>4.5</v>
      </c>
      <c r="I21" s="6" t="n">
        <v>3.75</v>
      </c>
      <c r="J21" s="10" t="n">
        <v>14.5</v>
      </c>
      <c r="K21" s="9" t="s">
        <v>25</v>
      </c>
      <c r="L21" s="4" t="s">
        <v>137</v>
      </c>
      <c r="M21" s="4" t="n">
        <v>0</v>
      </c>
      <c r="N21" s="4" t="n">
        <v>13</v>
      </c>
    </row>
    <row r="22" customFormat="false" ht="15" hidden="false" customHeight="false" outlineLevel="0" collapsed="false">
      <c r="A22" s="4" t="n">
        <v>19</v>
      </c>
      <c r="B22" s="5" t="s">
        <v>38</v>
      </c>
      <c r="C22" s="5" t="s">
        <v>27</v>
      </c>
      <c r="D22" s="4" t="s">
        <v>131</v>
      </c>
      <c r="E22" s="4" t="s">
        <v>131</v>
      </c>
      <c r="F22" s="6" t="n">
        <v>2.5</v>
      </c>
      <c r="G22" s="6" t="n">
        <v>4</v>
      </c>
      <c r="H22" s="6" t="n">
        <v>3</v>
      </c>
      <c r="I22" s="6" t="n">
        <v>4.5</v>
      </c>
      <c r="J22" s="10" t="n">
        <v>14</v>
      </c>
      <c r="K22" s="8" t="s">
        <v>20</v>
      </c>
      <c r="L22" s="4" t="s">
        <v>143</v>
      </c>
      <c r="M22" s="4" t="n">
        <v>3</v>
      </c>
      <c r="N22" s="4" t="n">
        <v>8</v>
      </c>
    </row>
    <row r="23" customFormat="false" ht="15" hidden="false" customHeight="false" outlineLevel="0" collapsed="false">
      <c r="A23" s="4" t="n">
        <v>20</v>
      </c>
      <c r="B23" s="5" t="s">
        <v>166</v>
      </c>
      <c r="C23" s="5" t="s">
        <v>167</v>
      </c>
      <c r="D23" s="4" t="s">
        <v>18</v>
      </c>
      <c r="E23" s="4" t="s">
        <v>136</v>
      </c>
      <c r="F23" s="6" t="n">
        <v>4</v>
      </c>
      <c r="G23" s="6" t="n">
        <v>5</v>
      </c>
      <c r="H23" s="6" t="n">
        <v>5</v>
      </c>
      <c r="I23" s="6" t="n">
        <v>0</v>
      </c>
      <c r="J23" s="10" t="n">
        <v>14</v>
      </c>
      <c r="K23" s="8" t="s">
        <v>20</v>
      </c>
      <c r="L23" s="4" t="s">
        <v>143</v>
      </c>
      <c r="M23" s="4" t="n">
        <v>2</v>
      </c>
      <c r="N23" s="4" t="n">
        <v>0</v>
      </c>
    </row>
    <row r="24" customFormat="false" ht="15" hidden="false" customHeight="false" outlineLevel="0" collapsed="false">
      <c r="A24" s="4" t="n">
        <v>21</v>
      </c>
      <c r="B24" s="5" t="s">
        <v>168</v>
      </c>
      <c r="C24" s="5" t="s">
        <v>141</v>
      </c>
      <c r="D24" s="4" t="s">
        <v>18</v>
      </c>
      <c r="E24" s="4" t="s">
        <v>136</v>
      </c>
      <c r="F24" s="6" t="n">
        <v>3</v>
      </c>
      <c r="G24" s="6" t="n">
        <v>3.25</v>
      </c>
      <c r="H24" s="6" t="n">
        <v>2.75</v>
      </c>
      <c r="I24" s="6" t="n">
        <v>5</v>
      </c>
      <c r="J24" s="10" t="n">
        <v>14</v>
      </c>
      <c r="K24" s="9" t="s">
        <v>25</v>
      </c>
      <c r="L24" s="4" t="s">
        <v>137</v>
      </c>
      <c r="M24" s="4" t="n">
        <v>0</v>
      </c>
      <c r="N24" s="4" t="n">
        <v>7</v>
      </c>
    </row>
    <row r="25" customFormat="false" ht="15" hidden="false" customHeight="false" outlineLevel="0" collapsed="false">
      <c r="A25" s="4" t="n">
        <v>22</v>
      </c>
      <c r="B25" s="5" t="s">
        <v>169</v>
      </c>
      <c r="C25" s="5" t="s">
        <v>170</v>
      </c>
      <c r="D25" s="4" t="s">
        <v>131</v>
      </c>
      <c r="E25" s="4" t="s">
        <v>131</v>
      </c>
      <c r="F25" s="6" t="n">
        <v>4</v>
      </c>
      <c r="G25" s="6" t="n">
        <v>4.5</v>
      </c>
      <c r="H25" s="6" t="n">
        <v>5</v>
      </c>
      <c r="I25" s="6" t="n">
        <v>0</v>
      </c>
      <c r="J25" s="10" t="n">
        <v>13.5</v>
      </c>
      <c r="K25" s="8" t="s">
        <v>20</v>
      </c>
      <c r="L25" s="4" t="s">
        <v>143</v>
      </c>
      <c r="M25" s="4" t="n">
        <v>0</v>
      </c>
      <c r="N25" s="4" t="n">
        <v>1</v>
      </c>
    </row>
    <row r="26" customFormat="false" ht="15" hidden="false" customHeight="false" outlineLevel="0" collapsed="false">
      <c r="A26" s="4" t="n">
        <v>23</v>
      </c>
      <c r="B26" s="5" t="s">
        <v>171</v>
      </c>
      <c r="C26" s="5" t="s">
        <v>157</v>
      </c>
      <c r="D26" s="4" t="s">
        <v>71</v>
      </c>
      <c r="E26" s="4" t="s">
        <v>136</v>
      </c>
      <c r="F26" s="6" t="n">
        <v>4</v>
      </c>
      <c r="G26" s="6" t="n">
        <v>4.5</v>
      </c>
      <c r="H26" s="6" t="n">
        <v>4.75</v>
      </c>
      <c r="I26" s="6" t="n">
        <v>0</v>
      </c>
      <c r="J26" s="10" t="n">
        <v>13.25</v>
      </c>
      <c r="K26" s="8" t="s">
        <v>20</v>
      </c>
      <c r="L26" s="4" t="s">
        <v>143</v>
      </c>
      <c r="M26" s="4" t="n">
        <v>0</v>
      </c>
      <c r="N26" s="4" t="n">
        <v>2</v>
      </c>
    </row>
    <row r="27" customFormat="false" ht="15" hidden="false" customHeight="false" outlineLevel="0" collapsed="false">
      <c r="A27" s="4" t="n">
        <v>24</v>
      </c>
      <c r="B27" s="5" t="s">
        <v>172</v>
      </c>
      <c r="C27" s="5" t="s">
        <v>80</v>
      </c>
      <c r="D27" s="4" t="s">
        <v>53</v>
      </c>
      <c r="E27" s="4" t="s">
        <v>142</v>
      </c>
      <c r="F27" s="6" t="n">
        <v>4</v>
      </c>
      <c r="G27" s="6" t="n">
        <v>4.75</v>
      </c>
      <c r="H27" s="6" t="n">
        <v>4.25</v>
      </c>
      <c r="I27" s="6" t="n">
        <v>0</v>
      </c>
      <c r="J27" s="10" t="n">
        <v>13</v>
      </c>
      <c r="K27" s="8" t="s">
        <v>20</v>
      </c>
      <c r="L27" s="4" t="s">
        <v>143</v>
      </c>
      <c r="M27" s="4" t="n">
        <v>0</v>
      </c>
      <c r="N27" s="4" t="n">
        <v>0</v>
      </c>
    </row>
    <row r="28" customFormat="false" ht="15" hidden="false" customHeight="false" outlineLevel="0" collapsed="false">
      <c r="A28" s="4" t="n">
        <v>25</v>
      </c>
      <c r="B28" s="5" t="s">
        <v>173</v>
      </c>
      <c r="C28" s="5" t="s">
        <v>174</v>
      </c>
      <c r="D28" s="4" t="s">
        <v>74</v>
      </c>
      <c r="E28" s="4" t="s">
        <v>145</v>
      </c>
      <c r="F28" s="6" t="n">
        <v>2.5</v>
      </c>
      <c r="G28" s="6" t="n">
        <v>2.75</v>
      </c>
      <c r="H28" s="6" t="n">
        <v>2.5</v>
      </c>
      <c r="I28" s="6" t="n">
        <v>5</v>
      </c>
      <c r="J28" s="10" t="n">
        <v>12.75</v>
      </c>
      <c r="K28" s="9" t="s">
        <v>25</v>
      </c>
      <c r="L28" s="4" t="s">
        <v>137</v>
      </c>
      <c r="M28" s="4" t="n">
        <v>0</v>
      </c>
      <c r="N28" s="4" t="n">
        <v>9</v>
      </c>
    </row>
    <row r="29" customFormat="false" ht="15" hidden="false" customHeight="false" outlineLevel="0" collapsed="false">
      <c r="A29" s="4" t="n">
        <v>26</v>
      </c>
      <c r="B29" s="5" t="s">
        <v>175</v>
      </c>
      <c r="C29" s="5" t="s">
        <v>176</v>
      </c>
      <c r="D29" s="4" t="s">
        <v>48</v>
      </c>
      <c r="E29" s="4" t="s">
        <v>145</v>
      </c>
      <c r="F29" s="6" t="n">
        <v>1</v>
      </c>
      <c r="G29" s="6" t="n">
        <v>4</v>
      </c>
      <c r="H29" s="6" t="n">
        <v>4.25</v>
      </c>
      <c r="I29" s="6" t="n">
        <v>3.25</v>
      </c>
      <c r="J29" s="10" t="n">
        <v>12.5</v>
      </c>
      <c r="K29" s="9" t="s">
        <v>25</v>
      </c>
      <c r="L29" s="4" t="s">
        <v>137</v>
      </c>
      <c r="M29" s="4" t="n">
        <v>0</v>
      </c>
      <c r="N29" s="4" t="n">
        <v>12</v>
      </c>
    </row>
    <row r="30" customFormat="false" ht="15" hidden="false" customHeight="false" outlineLevel="0" collapsed="false">
      <c r="A30" s="4" t="n">
        <v>27</v>
      </c>
      <c r="B30" s="5" t="s">
        <v>177</v>
      </c>
      <c r="C30" s="5" t="s">
        <v>178</v>
      </c>
      <c r="D30" s="4" t="s">
        <v>131</v>
      </c>
      <c r="E30" s="4" t="s">
        <v>131</v>
      </c>
      <c r="F30" s="6" t="n">
        <v>4</v>
      </c>
      <c r="G30" s="6" t="n">
        <v>4.25</v>
      </c>
      <c r="H30" s="6" t="n">
        <v>4</v>
      </c>
      <c r="I30" s="6" t="n">
        <v>0</v>
      </c>
      <c r="J30" s="10" t="n">
        <v>12.25</v>
      </c>
      <c r="K30" s="8" t="s">
        <v>20</v>
      </c>
      <c r="L30" s="4" t="s">
        <v>143</v>
      </c>
      <c r="M30" s="4" t="n">
        <v>0</v>
      </c>
      <c r="N30" s="4" t="n">
        <v>4</v>
      </c>
    </row>
    <row r="31" customFormat="false" ht="15" hidden="false" customHeight="false" outlineLevel="0" collapsed="false">
      <c r="A31" s="4" t="n">
        <v>28</v>
      </c>
      <c r="B31" s="5" t="s">
        <v>179</v>
      </c>
      <c r="C31" s="5" t="s">
        <v>180</v>
      </c>
      <c r="D31" s="4" t="s">
        <v>53</v>
      </c>
      <c r="E31" s="4" t="s">
        <v>142</v>
      </c>
      <c r="F31" s="6" t="n">
        <v>3.5</v>
      </c>
      <c r="G31" s="6" t="n">
        <v>4</v>
      </c>
      <c r="H31" s="6" t="n">
        <v>4.75</v>
      </c>
      <c r="I31" s="6" t="n">
        <v>0</v>
      </c>
      <c r="J31" s="10" t="n">
        <v>12.25</v>
      </c>
      <c r="K31" s="8" t="s">
        <v>20</v>
      </c>
      <c r="L31" s="4" t="s">
        <v>143</v>
      </c>
      <c r="M31" s="4" t="n">
        <v>0</v>
      </c>
      <c r="N31" s="4" t="n">
        <v>2</v>
      </c>
    </row>
    <row r="32" customFormat="false" ht="15" hidden="false" customHeight="false" outlineLevel="0" collapsed="false">
      <c r="A32" s="4" t="n">
        <v>29</v>
      </c>
      <c r="B32" s="5" t="s">
        <v>129</v>
      </c>
      <c r="C32" s="5" t="s">
        <v>181</v>
      </c>
      <c r="D32" s="4" t="s">
        <v>37</v>
      </c>
      <c r="E32" s="4" t="s">
        <v>145</v>
      </c>
      <c r="F32" s="6" t="n">
        <v>1.5</v>
      </c>
      <c r="G32" s="6" t="n">
        <v>2.75</v>
      </c>
      <c r="H32" s="6" t="n">
        <v>4</v>
      </c>
      <c r="I32" s="6" t="n">
        <v>3.75</v>
      </c>
      <c r="J32" s="10" t="n">
        <v>12</v>
      </c>
      <c r="K32" s="9" t="s">
        <v>25</v>
      </c>
      <c r="L32" s="4" t="s">
        <v>137</v>
      </c>
      <c r="M32" s="4" t="n">
        <v>1</v>
      </c>
      <c r="N32" s="4" t="n">
        <v>12</v>
      </c>
    </row>
    <row r="33" customFormat="false" ht="15" hidden="false" customHeight="false" outlineLevel="0" collapsed="false">
      <c r="A33" s="4" t="n">
        <v>30</v>
      </c>
      <c r="B33" s="5" t="s">
        <v>182</v>
      </c>
      <c r="C33" s="5" t="s">
        <v>183</v>
      </c>
      <c r="D33" s="4" t="s">
        <v>131</v>
      </c>
      <c r="E33" s="4" t="s">
        <v>131</v>
      </c>
      <c r="F33" s="6" t="n">
        <v>3</v>
      </c>
      <c r="G33" s="6" t="n">
        <v>4.5</v>
      </c>
      <c r="H33" s="6" t="n">
        <v>4.25</v>
      </c>
      <c r="I33" s="6" t="n">
        <v>0</v>
      </c>
      <c r="J33" s="11" t="n">
        <v>11.75</v>
      </c>
      <c r="K33" s="8" t="s">
        <v>20</v>
      </c>
      <c r="L33" s="4" t="s">
        <v>143</v>
      </c>
      <c r="M33" s="4" t="n">
        <v>0</v>
      </c>
      <c r="N33" s="4" t="n">
        <v>1</v>
      </c>
    </row>
    <row r="34" customFormat="false" ht="15" hidden="false" customHeight="false" outlineLevel="0" collapsed="false">
      <c r="A34" s="4" t="n">
        <v>31</v>
      </c>
      <c r="B34" s="5" t="s">
        <v>184</v>
      </c>
      <c r="C34" s="5" t="s">
        <v>185</v>
      </c>
      <c r="D34" s="4" t="s">
        <v>131</v>
      </c>
      <c r="E34" s="4" t="s">
        <v>131</v>
      </c>
      <c r="F34" s="6" t="n">
        <v>3.5</v>
      </c>
      <c r="G34" s="6" t="n">
        <v>3</v>
      </c>
      <c r="H34" s="6" t="n">
        <v>2</v>
      </c>
      <c r="I34" s="6" t="n">
        <v>3.25</v>
      </c>
      <c r="J34" s="11" t="n">
        <v>11.75</v>
      </c>
      <c r="K34" s="8" t="s">
        <v>20</v>
      </c>
      <c r="L34" s="4" t="s">
        <v>143</v>
      </c>
      <c r="M34" s="4" t="n">
        <v>5</v>
      </c>
      <c r="N34" s="4" t="n">
        <v>4</v>
      </c>
    </row>
    <row r="35" customFormat="false" ht="15" hidden="false" customHeight="false" outlineLevel="0" collapsed="false">
      <c r="A35" s="4" t="n">
        <v>32</v>
      </c>
      <c r="B35" s="5" t="s">
        <v>186</v>
      </c>
      <c r="C35" s="5" t="s">
        <v>187</v>
      </c>
      <c r="D35" s="4" t="s">
        <v>131</v>
      </c>
      <c r="E35" s="4" t="s">
        <v>131</v>
      </c>
      <c r="F35" s="6" t="n">
        <v>1.5</v>
      </c>
      <c r="G35" s="6" t="n">
        <v>4.5</v>
      </c>
      <c r="H35" s="6" t="n">
        <v>2.75</v>
      </c>
      <c r="I35" s="6" t="n">
        <v>3</v>
      </c>
      <c r="J35" s="11" t="n">
        <v>11.75</v>
      </c>
      <c r="K35" s="8" t="s">
        <v>20</v>
      </c>
      <c r="L35" s="4" t="s">
        <v>143</v>
      </c>
      <c r="M35" s="4" t="n">
        <v>4</v>
      </c>
      <c r="N35" s="4" t="n">
        <v>8</v>
      </c>
    </row>
    <row r="36" customFormat="false" ht="15" hidden="false" customHeight="false" outlineLevel="0" collapsed="false">
      <c r="A36" s="4" t="n">
        <v>33</v>
      </c>
      <c r="B36" s="5" t="s">
        <v>188</v>
      </c>
      <c r="C36" s="5" t="s">
        <v>189</v>
      </c>
      <c r="D36" s="4" t="s">
        <v>48</v>
      </c>
      <c r="E36" s="4" t="s">
        <v>145</v>
      </c>
      <c r="F36" s="6" t="n">
        <v>2.5</v>
      </c>
      <c r="G36" s="6" t="n">
        <v>3.25</v>
      </c>
      <c r="H36" s="6" t="n">
        <v>2</v>
      </c>
      <c r="I36" s="6" t="n">
        <v>3.5</v>
      </c>
      <c r="J36" s="11" t="n">
        <v>11.25</v>
      </c>
      <c r="K36" s="9" t="s">
        <v>25</v>
      </c>
      <c r="L36" s="4" t="s">
        <v>137</v>
      </c>
      <c r="M36" s="4" t="n">
        <v>0</v>
      </c>
      <c r="N36" s="4" t="n">
        <v>19</v>
      </c>
    </row>
    <row r="37" customFormat="false" ht="15" hidden="false" customHeight="false" outlineLevel="0" collapsed="false">
      <c r="A37" s="4" t="n">
        <v>34</v>
      </c>
      <c r="B37" s="5" t="s">
        <v>190</v>
      </c>
      <c r="C37" s="5" t="s">
        <v>39</v>
      </c>
      <c r="D37" s="4" t="s">
        <v>71</v>
      </c>
      <c r="E37" s="4" t="s">
        <v>136</v>
      </c>
      <c r="F37" s="6" t="n">
        <v>3</v>
      </c>
      <c r="G37" s="6" t="n">
        <v>2.75</v>
      </c>
      <c r="H37" s="6" t="n">
        <v>1.75</v>
      </c>
      <c r="I37" s="6" t="n">
        <v>3.25</v>
      </c>
      <c r="J37" s="11" t="n">
        <v>10.75</v>
      </c>
      <c r="K37" s="9" t="s">
        <v>25</v>
      </c>
      <c r="L37" s="4" t="s">
        <v>137</v>
      </c>
      <c r="M37" s="4" t="n">
        <v>0</v>
      </c>
      <c r="N37" s="4" t="n">
        <v>16</v>
      </c>
    </row>
    <row r="38" customFormat="false" ht="15" hidden="false" customHeight="false" outlineLevel="0" collapsed="false">
      <c r="A38" s="4" t="n">
        <v>35</v>
      </c>
      <c r="B38" s="5" t="s">
        <v>129</v>
      </c>
      <c r="C38" s="5" t="s">
        <v>191</v>
      </c>
      <c r="D38" s="4" t="s">
        <v>40</v>
      </c>
      <c r="E38" s="4" t="s">
        <v>136</v>
      </c>
      <c r="F38" s="6" t="n">
        <v>5</v>
      </c>
      <c r="G38" s="6" t="n">
        <v>1.75</v>
      </c>
      <c r="H38" s="6" t="n">
        <v>2.5</v>
      </c>
      <c r="I38" s="6" t="n">
        <v>1.5</v>
      </c>
      <c r="J38" s="11" t="n">
        <v>10.75</v>
      </c>
      <c r="K38" s="9" t="s">
        <v>25</v>
      </c>
      <c r="L38" s="4" t="s">
        <v>137</v>
      </c>
      <c r="M38" s="4" t="n">
        <v>1</v>
      </c>
      <c r="N38" s="4" t="n">
        <v>18</v>
      </c>
    </row>
    <row r="39" customFormat="false" ht="15" hidden="false" customHeight="false" outlineLevel="0" collapsed="false">
      <c r="A39" s="4" t="n">
        <v>36</v>
      </c>
      <c r="B39" s="5" t="s">
        <v>192</v>
      </c>
      <c r="C39" s="5" t="s">
        <v>193</v>
      </c>
      <c r="D39" s="4" t="s">
        <v>37</v>
      </c>
      <c r="E39" s="4" t="s">
        <v>145</v>
      </c>
      <c r="F39" s="6" t="n">
        <v>3</v>
      </c>
      <c r="G39" s="6" t="n">
        <v>4.25</v>
      </c>
      <c r="H39" s="6" t="n">
        <v>2.75</v>
      </c>
      <c r="I39" s="6" t="n">
        <v>0</v>
      </c>
      <c r="J39" s="11" t="n">
        <v>10</v>
      </c>
      <c r="K39" s="8" t="s">
        <v>20</v>
      </c>
      <c r="L39" s="4" t="s">
        <v>143</v>
      </c>
      <c r="M39" s="4" t="n">
        <v>2</v>
      </c>
      <c r="N39" s="4" t="n">
        <v>2</v>
      </c>
    </row>
    <row r="40" customFormat="false" ht="15" hidden="false" customHeight="false" outlineLevel="0" collapsed="false">
      <c r="A40" s="4" t="n">
        <v>37</v>
      </c>
      <c r="B40" s="5" t="s">
        <v>129</v>
      </c>
      <c r="C40" s="5" t="s">
        <v>194</v>
      </c>
      <c r="D40" s="4" t="s">
        <v>131</v>
      </c>
      <c r="E40" s="4" t="s">
        <v>131</v>
      </c>
      <c r="F40" s="6" t="n">
        <v>2.5</v>
      </c>
      <c r="G40" s="6" t="n">
        <v>2.75</v>
      </c>
      <c r="H40" s="6" t="n">
        <v>2.25</v>
      </c>
      <c r="I40" s="6" t="n">
        <v>2.25</v>
      </c>
      <c r="J40" s="12" t="n">
        <v>9.75</v>
      </c>
      <c r="K40" s="9" t="s">
        <v>25</v>
      </c>
      <c r="L40" s="4" t="s">
        <v>137</v>
      </c>
      <c r="M40" s="4" t="n">
        <v>0</v>
      </c>
      <c r="N40" s="4" t="n">
        <v>18</v>
      </c>
    </row>
    <row r="41" customFormat="false" ht="15" hidden="false" customHeight="false" outlineLevel="0" collapsed="false">
      <c r="A41" s="4" t="n">
        <v>38</v>
      </c>
      <c r="B41" s="5" t="s">
        <v>195</v>
      </c>
      <c r="C41" s="5" t="s">
        <v>39</v>
      </c>
      <c r="D41" s="4" t="s">
        <v>40</v>
      </c>
      <c r="E41" s="4" t="s">
        <v>142</v>
      </c>
      <c r="F41" s="6" t="n">
        <v>2.5</v>
      </c>
      <c r="G41" s="6" t="n">
        <v>3</v>
      </c>
      <c r="H41" s="6" t="n">
        <v>2.75</v>
      </c>
      <c r="I41" s="6" t="n">
        <v>1.25</v>
      </c>
      <c r="J41" s="12" t="n">
        <v>9.5</v>
      </c>
      <c r="K41" s="9" t="s">
        <v>25</v>
      </c>
      <c r="L41" s="4" t="s">
        <v>137</v>
      </c>
      <c r="M41" s="4" t="n">
        <v>0</v>
      </c>
      <c r="N41" s="4" t="n">
        <v>19</v>
      </c>
    </row>
    <row r="42" customFormat="false" ht="15" hidden="false" customHeight="false" outlineLevel="0" collapsed="false">
      <c r="A42" s="4" t="n">
        <v>39</v>
      </c>
      <c r="B42" s="5" t="s">
        <v>196</v>
      </c>
      <c r="C42" s="5" t="s">
        <v>47</v>
      </c>
      <c r="D42" s="4" t="s">
        <v>48</v>
      </c>
      <c r="E42" s="4" t="s">
        <v>142</v>
      </c>
      <c r="F42" s="6" t="n">
        <v>5</v>
      </c>
      <c r="G42" s="6" t="n">
        <v>1.5</v>
      </c>
      <c r="H42" s="6" t="n">
        <v>1.25</v>
      </c>
      <c r="I42" s="6" t="n">
        <v>1.25</v>
      </c>
      <c r="J42" s="12" t="n">
        <v>9</v>
      </c>
      <c r="K42" s="8" t="s">
        <v>20</v>
      </c>
      <c r="L42" s="4" t="s">
        <v>197</v>
      </c>
      <c r="M42" s="4" t="n">
        <v>14</v>
      </c>
      <c r="N42" s="4" t="n">
        <v>21</v>
      </c>
    </row>
    <row r="43" customFormat="false" ht="15" hidden="false" customHeight="false" outlineLevel="0" collapsed="false">
      <c r="A43" s="4" t="n">
        <v>40</v>
      </c>
      <c r="B43" s="5" t="s">
        <v>129</v>
      </c>
      <c r="C43" s="5" t="s">
        <v>198</v>
      </c>
      <c r="D43" s="4" t="s">
        <v>53</v>
      </c>
      <c r="E43" s="4" t="s">
        <v>142</v>
      </c>
      <c r="F43" s="6" t="n">
        <v>1.5</v>
      </c>
      <c r="G43" s="6" t="n">
        <v>2.5</v>
      </c>
      <c r="H43" s="6" t="n">
        <v>3.75</v>
      </c>
      <c r="I43" s="6" t="n">
        <v>1.25</v>
      </c>
      <c r="J43" s="12" t="n">
        <v>9</v>
      </c>
      <c r="K43" s="9" t="s">
        <v>25</v>
      </c>
      <c r="L43" s="4" t="s">
        <v>137</v>
      </c>
      <c r="M43" s="4" t="n">
        <v>0</v>
      </c>
      <c r="N43" s="4" t="n">
        <v>19</v>
      </c>
    </row>
    <row r="44" customFormat="false" ht="15" hidden="false" customHeight="false" outlineLevel="0" collapsed="false">
      <c r="A44" s="4" t="n">
        <v>41</v>
      </c>
      <c r="B44" s="5" t="s">
        <v>199</v>
      </c>
      <c r="C44" s="5" t="s">
        <v>200</v>
      </c>
      <c r="D44" s="4" t="s">
        <v>37</v>
      </c>
      <c r="E44" s="4" t="s">
        <v>145</v>
      </c>
      <c r="F44" s="6" t="n">
        <v>2</v>
      </c>
      <c r="G44" s="6" t="n">
        <v>3</v>
      </c>
      <c r="H44" s="6" t="n">
        <v>1.5</v>
      </c>
      <c r="I44" s="6" t="n">
        <v>2.25</v>
      </c>
      <c r="J44" s="12" t="n">
        <v>8.75</v>
      </c>
      <c r="K44" s="8" t="s">
        <v>20</v>
      </c>
      <c r="L44" s="4" t="s">
        <v>143</v>
      </c>
      <c r="M44" s="4" t="n">
        <v>0</v>
      </c>
      <c r="N44" s="4" t="n">
        <v>10</v>
      </c>
    </row>
    <row r="45" customFormat="false" ht="15" hidden="false" customHeight="false" outlineLevel="0" collapsed="false">
      <c r="A45" s="4" t="n">
        <v>42</v>
      </c>
      <c r="B45" s="5" t="s">
        <v>201</v>
      </c>
      <c r="C45" s="5" t="s">
        <v>202</v>
      </c>
      <c r="D45" s="4" t="s">
        <v>71</v>
      </c>
      <c r="E45" s="4" t="s">
        <v>136</v>
      </c>
      <c r="F45" s="6" t="n">
        <v>1.5</v>
      </c>
      <c r="G45" s="6" t="n">
        <v>2</v>
      </c>
      <c r="H45" s="6" t="n">
        <v>2.5</v>
      </c>
      <c r="I45" s="6" t="n">
        <v>2.75</v>
      </c>
      <c r="J45" s="12" t="n">
        <v>8.75</v>
      </c>
      <c r="K45" s="8" t="s">
        <v>20</v>
      </c>
      <c r="L45" s="4" t="s">
        <v>143</v>
      </c>
      <c r="M45" s="4" t="n">
        <v>13</v>
      </c>
      <c r="N45" s="4" t="n">
        <v>6</v>
      </c>
    </row>
    <row r="46" customFormat="false" ht="15" hidden="false" customHeight="false" outlineLevel="0" collapsed="false">
      <c r="A46" s="4" t="n">
        <v>43</v>
      </c>
      <c r="B46" s="5" t="s">
        <v>203</v>
      </c>
      <c r="C46" s="5" t="s">
        <v>204</v>
      </c>
      <c r="D46" s="4" t="s">
        <v>71</v>
      </c>
      <c r="E46" s="4" t="s">
        <v>136</v>
      </c>
      <c r="F46" s="6" t="n">
        <v>1.5</v>
      </c>
      <c r="G46" s="6" t="n">
        <v>3.25</v>
      </c>
      <c r="H46" s="6" t="n">
        <v>4</v>
      </c>
      <c r="I46" s="6" t="n">
        <v>0</v>
      </c>
      <c r="J46" s="12" t="n">
        <v>8.75</v>
      </c>
      <c r="K46" s="8" t="s">
        <v>20</v>
      </c>
      <c r="L46" s="4" t="s">
        <v>143</v>
      </c>
      <c r="M46" s="4" t="n">
        <v>0</v>
      </c>
      <c r="N46" s="4" t="n">
        <v>4</v>
      </c>
    </row>
    <row r="47" customFormat="false" ht="15" hidden="false" customHeight="false" outlineLevel="0" collapsed="false">
      <c r="A47" s="4" t="n">
        <v>44</v>
      </c>
      <c r="B47" s="5" t="s">
        <v>205</v>
      </c>
      <c r="C47" s="5" t="s">
        <v>206</v>
      </c>
      <c r="D47" s="4" t="s">
        <v>37</v>
      </c>
      <c r="E47" s="4" t="s">
        <v>145</v>
      </c>
      <c r="F47" s="6" t="n">
        <v>1.5</v>
      </c>
      <c r="G47" s="6" t="n">
        <v>3</v>
      </c>
      <c r="H47" s="6" t="n">
        <v>4.25</v>
      </c>
      <c r="I47" s="6" t="n">
        <v>0</v>
      </c>
      <c r="J47" s="12" t="n">
        <v>8.75</v>
      </c>
      <c r="K47" s="8" t="s">
        <v>20</v>
      </c>
      <c r="L47" s="4" t="s">
        <v>143</v>
      </c>
      <c r="M47" s="4" t="n">
        <v>0</v>
      </c>
      <c r="N47" s="4" t="n">
        <v>3</v>
      </c>
    </row>
    <row r="48" customFormat="false" ht="15" hidden="false" customHeight="false" outlineLevel="0" collapsed="false">
      <c r="A48" s="4" t="n">
        <v>45</v>
      </c>
      <c r="B48" s="5" t="s">
        <v>207</v>
      </c>
      <c r="C48" s="5" t="s">
        <v>208</v>
      </c>
      <c r="D48" s="4" t="s">
        <v>71</v>
      </c>
      <c r="E48" s="4" t="s">
        <v>136</v>
      </c>
      <c r="F48" s="6" t="n">
        <v>2.5</v>
      </c>
      <c r="G48" s="6" t="n">
        <v>0.25</v>
      </c>
      <c r="H48" s="6" t="n">
        <v>5</v>
      </c>
      <c r="I48" s="6" t="n">
        <v>0</v>
      </c>
      <c r="J48" s="12" t="n">
        <v>7.75</v>
      </c>
      <c r="K48" s="8" t="s">
        <v>20</v>
      </c>
      <c r="L48" s="4" t="s">
        <v>143</v>
      </c>
      <c r="M48" s="4" t="n">
        <v>0</v>
      </c>
      <c r="N48" s="4" t="n">
        <v>3</v>
      </c>
    </row>
    <row r="49" customFormat="false" ht="15" hidden="false" customHeight="false" outlineLevel="0" collapsed="false">
      <c r="A49" s="4" t="n">
        <v>46</v>
      </c>
      <c r="B49" s="5" t="s">
        <v>209</v>
      </c>
      <c r="C49" s="5" t="s">
        <v>52</v>
      </c>
      <c r="D49" s="4" t="s">
        <v>131</v>
      </c>
      <c r="E49" s="4" t="s">
        <v>131</v>
      </c>
      <c r="F49" s="6" t="n">
        <v>3.5</v>
      </c>
      <c r="G49" s="6" t="n">
        <v>2</v>
      </c>
      <c r="H49" s="6" t="n">
        <v>0</v>
      </c>
      <c r="I49" s="6" t="n">
        <v>2.25</v>
      </c>
      <c r="J49" s="12" t="n">
        <v>7.75</v>
      </c>
      <c r="K49" s="9" t="s">
        <v>25</v>
      </c>
      <c r="L49" s="4" t="s">
        <v>137</v>
      </c>
      <c r="M49" s="4" t="n">
        <v>0</v>
      </c>
      <c r="N49" s="4" t="n">
        <v>13</v>
      </c>
    </row>
    <row r="50" customFormat="false" ht="15" hidden="false" customHeight="false" outlineLevel="0" collapsed="false">
      <c r="A50" s="4" t="n">
        <v>47</v>
      </c>
      <c r="B50" s="5" t="s">
        <v>210</v>
      </c>
      <c r="C50" s="5" t="s">
        <v>167</v>
      </c>
      <c r="D50" s="4" t="s">
        <v>53</v>
      </c>
      <c r="E50" s="4" t="s">
        <v>145</v>
      </c>
      <c r="F50" s="6" t="n">
        <v>2</v>
      </c>
      <c r="G50" s="6" t="n">
        <v>2.25</v>
      </c>
      <c r="H50" s="6" t="n">
        <v>1</v>
      </c>
      <c r="I50" s="6" t="n">
        <v>2</v>
      </c>
      <c r="J50" s="12" t="n">
        <v>7.25</v>
      </c>
      <c r="K50" s="8" t="s">
        <v>20</v>
      </c>
      <c r="L50" s="4" t="s">
        <v>137</v>
      </c>
      <c r="M50" s="4" t="n">
        <v>0</v>
      </c>
      <c r="N50" s="4" t="n">
        <v>20</v>
      </c>
    </row>
    <row r="51" customFormat="false" ht="15" hidden="false" customHeight="false" outlineLevel="0" collapsed="false">
      <c r="A51" s="4" t="n">
        <v>48</v>
      </c>
      <c r="B51" s="5" t="s">
        <v>211</v>
      </c>
      <c r="C51" s="5" t="s">
        <v>212</v>
      </c>
      <c r="D51" s="4" t="s">
        <v>71</v>
      </c>
      <c r="E51" s="4" t="s">
        <v>136</v>
      </c>
      <c r="F51" s="6" t="n">
        <v>2.5</v>
      </c>
      <c r="G51" s="6" t="n">
        <v>1.25</v>
      </c>
      <c r="H51" s="6" t="n">
        <v>0.75</v>
      </c>
      <c r="I51" s="6" t="n">
        <v>2.75</v>
      </c>
      <c r="J51" s="12" t="n">
        <v>7.25</v>
      </c>
      <c r="K51" s="8" t="s">
        <v>20</v>
      </c>
      <c r="L51" s="4" t="s">
        <v>143</v>
      </c>
      <c r="M51" s="4" t="n">
        <v>0</v>
      </c>
      <c r="N51" s="4" t="n">
        <v>3</v>
      </c>
    </row>
    <row r="52" customFormat="false" ht="15" hidden="false" customHeight="false" outlineLevel="0" collapsed="false">
      <c r="A52" s="4" t="n">
        <v>49</v>
      </c>
      <c r="B52" s="5" t="s">
        <v>213</v>
      </c>
      <c r="C52" s="5" t="s">
        <v>214</v>
      </c>
      <c r="D52" s="4" t="s">
        <v>37</v>
      </c>
      <c r="E52" s="4" t="s">
        <v>145</v>
      </c>
      <c r="F52" s="6" t="n">
        <v>1</v>
      </c>
      <c r="G52" s="6" t="n">
        <v>2</v>
      </c>
      <c r="H52" s="6" t="n">
        <v>1</v>
      </c>
      <c r="I52" s="6" t="n">
        <v>2.25</v>
      </c>
      <c r="J52" s="12" t="n">
        <v>6.25</v>
      </c>
      <c r="K52" s="9" t="s">
        <v>25</v>
      </c>
      <c r="L52" s="4" t="s">
        <v>132</v>
      </c>
      <c r="M52" s="4" t="n">
        <v>1</v>
      </c>
      <c r="N52" s="4" t="n">
        <v>16</v>
      </c>
    </row>
    <row r="53" customFormat="false" ht="15" hidden="false" customHeight="false" outlineLevel="0" collapsed="false">
      <c r="A53" s="4" t="n">
        <v>50</v>
      </c>
      <c r="B53" s="5" t="s">
        <v>215</v>
      </c>
      <c r="C53" s="5" t="s">
        <v>216</v>
      </c>
      <c r="D53" s="4" t="s">
        <v>18</v>
      </c>
      <c r="E53" s="4" t="s">
        <v>136</v>
      </c>
      <c r="F53" s="6" t="n">
        <v>2</v>
      </c>
      <c r="G53" s="6" t="n">
        <v>1.25</v>
      </c>
      <c r="H53" s="6" t="n">
        <v>2.5</v>
      </c>
      <c r="I53" s="6" t="n">
        <v>0</v>
      </c>
      <c r="J53" s="12" t="n">
        <v>5.75</v>
      </c>
      <c r="K53" s="8" t="s">
        <v>20</v>
      </c>
      <c r="L53" s="4" t="s">
        <v>143</v>
      </c>
      <c r="M53" s="4" t="n">
        <v>0</v>
      </c>
      <c r="N53" s="4" t="n">
        <v>4</v>
      </c>
    </row>
    <row r="54" customFormat="false" ht="15" hidden="false" customHeight="false" outlineLevel="0" collapsed="false">
      <c r="A54" s="4" t="n">
        <v>51</v>
      </c>
      <c r="B54" s="5" t="s">
        <v>217</v>
      </c>
      <c r="C54" s="5" t="s">
        <v>208</v>
      </c>
      <c r="D54" s="4" t="s">
        <v>40</v>
      </c>
      <c r="E54" s="4" t="s">
        <v>142</v>
      </c>
      <c r="F54" s="6" t="n">
        <v>0</v>
      </c>
      <c r="G54" s="6" t="n">
        <v>1</v>
      </c>
      <c r="H54" s="6" t="n">
        <v>4</v>
      </c>
      <c r="I54" s="6" t="n">
        <v>0</v>
      </c>
      <c r="J54" s="12" t="n">
        <v>5</v>
      </c>
      <c r="K54" s="8" t="s">
        <v>20</v>
      </c>
      <c r="L54" s="4" t="s">
        <v>143</v>
      </c>
      <c r="M54" s="4" t="n">
        <v>0</v>
      </c>
      <c r="N54" s="4" t="n">
        <v>2</v>
      </c>
    </row>
    <row r="55" customFormat="false" ht="15" hidden="false" customHeight="false" outlineLevel="0" collapsed="false">
      <c r="A55" s="4" t="n">
        <v>52</v>
      </c>
      <c r="B55" s="5" t="s">
        <v>203</v>
      </c>
      <c r="C55" s="5" t="s">
        <v>218</v>
      </c>
      <c r="D55" s="4" t="s">
        <v>131</v>
      </c>
      <c r="E55" s="4" t="s">
        <v>131</v>
      </c>
      <c r="F55" s="6" t="n">
        <v>1.5</v>
      </c>
      <c r="G55" s="6" t="n">
        <v>3</v>
      </c>
      <c r="H55" s="6" t="n">
        <v>0</v>
      </c>
      <c r="I55" s="6" t="n">
        <v>0</v>
      </c>
      <c r="J55" s="12" t="n">
        <v>4.5</v>
      </c>
      <c r="K55" s="8" t="s">
        <v>20</v>
      </c>
      <c r="L55" s="4" t="s">
        <v>143</v>
      </c>
      <c r="M55" s="4" t="n">
        <v>1</v>
      </c>
      <c r="N55" s="4" t="n">
        <v>1</v>
      </c>
    </row>
    <row r="56" customFormat="false" ht="15" hidden="false" customHeight="false" outlineLevel="0" collapsed="false">
      <c r="A56" s="4" t="n">
        <v>53</v>
      </c>
      <c r="B56" s="5" t="s">
        <v>203</v>
      </c>
      <c r="C56" s="5" t="s">
        <v>219</v>
      </c>
      <c r="D56" s="4" t="s">
        <v>40</v>
      </c>
      <c r="E56" s="4" t="s">
        <v>142</v>
      </c>
      <c r="F56" s="6" t="n">
        <v>0.5</v>
      </c>
      <c r="G56" s="6" t="n">
        <v>3.75</v>
      </c>
      <c r="H56" s="6" t="n">
        <v>0</v>
      </c>
      <c r="I56" s="6" t="n">
        <v>0</v>
      </c>
      <c r="J56" s="12" t="n">
        <v>4.25</v>
      </c>
      <c r="K56" s="8" t="s">
        <v>20</v>
      </c>
      <c r="L56" s="4" t="s">
        <v>143</v>
      </c>
      <c r="M56" s="4" t="n">
        <v>0</v>
      </c>
      <c r="N56" s="4" t="n">
        <v>2</v>
      </c>
    </row>
    <row r="57" customFormat="false" ht="15" hidden="false" customHeight="false" outlineLevel="0" collapsed="false">
      <c r="A57" s="4" t="n">
        <v>54</v>
      </c>
      <c r="B57" s="5" t="s">
        <v>220</v>
      </c>
      <c r="C57" s="5" t="s">
        <v>165</v>
      </c>
      <c r="D57" s="4" t="s">
        <v>40</v>
      </c>
      <c r="E57" s="4" t="s">
        <v>142</v>
      </c>
      <c r="F57" s="6" t="n">
        <v>0</v>
      </c>
      <c r="G57" s="6" t="n">
        <v>2.5</v>
      </c>
      <c r="H57" s="6" t="n">
        <v>0</v>
      </c>
      <c r="I57" s="6" t="n">
        <v>0</v>
      </c>
      <c r="J57" s="12" t="n">
        <v>2.5</v>
      </c>
      <c r="K57" s="8" t="s">
        <v>20</v>
      </c>
      <c r="L57" s="4" t="s">
        <v>197</v>
      </c>
      <c r="M57" s="4" t="n">
        <v>0</v>
      </c>
      <c r="N57" s="4" t="n">
        <v>0</v>
      </c>
    </row>
    <row r="58" customFormat="false" ht="15" hidden="false" customHeight="false" outlineLevel="0" collapsed="false">
      <c r="A58" s="4" t="n">
        <v>55</v>
      </c>
      <c r="B58" s="5" t="s">
        <v>129</v>
      </c>
      <c r="C58" s="5" t="s">
        <v>221</v>
      </c>
      <c r="D58" s="4" t="s">
        <v>48</v>
      </c>
      <c r="E58" s="4" t="s">
        <v>145</v>
      </c>
      <c r="F58" s="6" t="n">
        <v>2.5</v>
      </c>
      <c r="G58" s="6" t="n">
        <v>0</v>
      </c>
      <c r="H58" s="6" t="n">
        <v>0</v>
      </c>
      <c r="I58" s="6" t="n">
        <v>0</v>
      </c>
      <c r="J58" s="12" t="n">
        <v>2.5</v>
      </c>
      <c r="K58" s="9" t="s">
        <v>25</v>
      </c>
      <c r="L58" s="4" t="s">
        <v>137</v>
      </c>
      <c r="M58" s="4" t="n">
        <v>0</v>
      </c>
      <c r="N58" s="4" t="n">
        <v>1</v>
      </c>
    </row>
    <row r="59" customFormat="false" ht="15" hidden="false" customHeight="false" outlineLevel="0" collapsed="false">
      <c r="A59" s="4" t="n">
        <v>56</v>
      </c>
      <c r="B59" s="5" t="s">
        <v>222</v>
      </c>
      <c r="C59" s="5" t="s">
        <v>223</v>
      </c>
      <c r="D59" s="4" t="s">
        <v>53</v>
      </c>
      <c r="E59" s="4" t="s">
        <v>142</v>
      </c>
      <c r="F59" s="6" t="n">
        <v>1</v>
      </c>
      <c r="G59" s="6" t="n">
        <v>0.25</v>
      </c>
      <c r="H59" s="6" t="n">
        <v>0.75</v>
      </c>
      <c r="I59" s="6" t="n">
        <v>0.25</v>
      </c>
      <c r="J59" s="12" t="n">
        <v>2.25</v>
      </c>
      <c r="K59" s="8" t="s">
        <v>20</v>
      </c>
      <c r="L59" s="4" t="s">
        <v>143</v>
      </c>
      <c r="M59" s="4" t="n">
        <v>0</v>
      </c>
      <c r="N59" s="4" t="n">
        <v>3</v>
      </c>
    </row>
    <row r="60" customFormat="false" ht="15" hidden="false" customHeight="false" outlineLevel="0" collapsed="false">
      <c r="A60" s="4" t="n">
        <v>57</v>
      </c>
      <c r="B60" s="5" t="s">
        <v>224</v>
      </c>
      <c r="C60" s="5" t="s">
        <v>153</v>
      </c>
      <c r="D60" s="4" t="s">
        <v>40</v>
      </c>
      <c r="E60" s="4" t="s">
        <v>142</v>
      </c>
      <c r="F60" s="6" t="n">
        <v>0</v>
      </c>
      <c r="G60" s="6" t="n">
        <v>1.5</v>
      </c>
      <c r="H60" s="6" t="n">
        <v>0</v>
      </c>
      <c r="I60" s="6" t="n">
        <v>0</v>
      </c>
      <c r="J60" s="12" t="n">
        <v>1.5</v>
      </c>
      <c r="K60" s="8" t="s">
        <v>20</v>
      </c>
      <c r="L60" s="4" t="s">
        <v>197</v>
      </c>
      <c r="M60" s="4" t="n">
        <v>1</v>
      </c>
      <c r="N60" s="4" t="n">
        <v>0</v>
      </c>
    </row>
    <row r="61" customFormat="false" ht="15" hidden="false" customHeight="false" outlineLevel="0" collapsed="false">
      <c r="A61" s="4" t="n">
        <v>58</v>
      </c>
      <c r="B61" s="5" t="s">
        <v>225</v>
      </c>
      <c r="C61" s="5" t="s">
        <v>226</v>
      </c>
      <c r="D61" s="4" t="s">
        <v>53</v>
      </c>
      <c r="E61" s="4" t="s">
        <v>145</v>
      </c>
      <c r="F61" s="6" t="n">
        <v>0.5</v>
      </c>
      <c r="G61" s="6" t="n">
        <v>0.25</v>
      </c>
      <c r="H61" s="6" t="n">
        <v>0</v>
      </c>
      <c r="I61" s="6" t="n">
        <v>0</v>
      </c>
      <c r="J61" s="12" t="n">
        <v>0.75</v>
      </c>
      <c r="K61" s="8" t="s">
        <v>20</v>
      </c>
      <c r="L61" s="4" t="s">
        <v>143</v>
      </c>
      <c r="M61" s="4" t="n">
        <v>0</v>
      </c>
      <c r="N61" s="4" t="n">
        <v>0</v>
      </c>
    </row>
    <row r="63" customFormat="false" ht="15" hidden="false" customHeight="false" outlineLevel="0" collapsed="false">
      <c r="F63" s="13" t="n">
        <f aca="false">AVERAGE(F4:F61)</f>
        <v>2.95689655172414</v>
      </c>
      <c r="G63" s="13" t="n">
        <f aca="false">AVERAGE(G4:G61)</f>
        <v>3.23275862068966</v>
      </c>
      <c r="H63" s="13" t="n">
        <f aca="false">AVERAGE(H4:H61)</f>
        <v>3.06465517241379</v>
      </c>
      <c r="I63" s="14" t="n">
        <f aca="false">AVERAGE(I4:I61)</f>
        <v>2.2801724137931</v>
      </c>
      <c r="J63" s="15" t="n">
        <f aca="false">AVERAGE(J4:J61)</f>
        <v>11.5344827586207</v>
      </c>
    </row>
    <row r="64" customFormat="false" ht="15" hidden="false" customHeight="false" outlineLevel="0" collapsed="false">
      <c r="I64" s="16" t="s">
        <v>120</v>
      </c>
      <c r="J64" s="15" t="n">
        <f aca="false">MEDIAN(J4:J61)</f>
        <v>11.875</v>
      </c>
    </row>
    <row r="65" customFormat="false" ht="15" hidden="false" customHeight="false" outlineLevel="0" collapsed="false">
      <c r="I65" s="16" t="s">
        <v>121</v>
      </c>
      <c r="J65" s="15" t="n">
        <f aca="false">MIN(J4:J61)</f>
        <v>0.75</v>
      </c>
    </row>
    <row r="66" customFormat="false" ht="15" hidden="false" customHeight="false" outlineLevel="0" collapsed="false">
      <c r="I66" s="16" t="s">
        <v>122</v>
      </c>
      <c r="J66" s="15" t="n">
        <f aca="false">MAX(J4:J61)</f>
        <v>20</v>
      </c>
    </row>
  </sheetData>
  <autoFilter ref="A3:N61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7" t="s">
        <v>227</v>
      </c>
      <c r="B1" s="17"/>
      <c r="C1" s="17"/>
      <c r="D1" s="17"/>
      <c r="E1" s="17"/>
    </row>
    <row r="3" customFormat="false" ht="15" hidden="false" customHeight="false" outlineLevel="0" collapsed="false">
      <c r="A3" s="3"/>
      <c r="B3" s="3" t="s">
        <v>228</v>
      </c>
      <c r="C3" s="3" t="s">
        <v>229</v>
      </c>
      <c r="D3" s="3" t="s">
        <v>230</v>
      </c>
    </row>
    <row r="4" customFormat="false" ht="15" hidden="false" customHeight="false" outlineLevel="0" collapsed="false">
      <c r="A4" s="18" t="s">
        <v>231</v>
      </c>
      <c r="B4" s="4" t="n">
        <v>106</v>
      </c>
      <c r="C4" s="4" t="n">
        <v>103</v>
      </c>
      <c r="D4" s="4" t="n">
        <v>209</v>
      </c>
    </row>
    <row r="5" customFormat="false" ht="15" hidden="false" customHeight="false" outlineLevel="0" collapsed="false">
      <c r="A5" s="18" t="s">
        <v>232</v>
      </c>
      <c r="B5" s="4" t="n">
        <v>47</v>
      </c>
      <c r="C5" s="4" t="n">
        <v>58</v>
      </c>
      <c r="D5" s="4" t="n">
        <v>105</v>
      </c>
    </row>
    <row r="6" customFormat="false" ht="15" hidden="false" customHeight="false" outlineLevel="0" collapsed="false">
      <c r="A6" s="18" t="s">
        <v>233</v>
      </c>
      <c r="B6" s="4" t="n">
        <v>16</v>
      </c>
      <c r="C6" s="4" t="n">
        <v>26</v>
      </c>
      <c r="D6" s="4"/>
    </row>
    <row r="7" customFormat="false" ht="15" hidden="false" customHeight="false" outlineLevel="0" collapsed="false">
      <c r="A7" s="18" t="s">
        <v>234</v>
      </c>
      <c r="B7" s="4" t="n">
        <v>31</v>
      </c>
      <c r="C7" s="4" t="n">
        <v>32</v>
      </c>
      <c r="D7" s="4"/>
    </row>
    <row r="8" customFormat="false" ht="15" hidden="false" customHeight="false" outlineLevel="0" collapsed="false">
      <c r="A8" s="18" t="s">
        <v>235</v>
      </c>
      <c r="B8" s="4" t="n">
        <v>59</v>
      </c>
      <c r="C8" s="4" t="n">
        <v>45</v>
      </c>
      <c r="D8" s="4" t="n">
        <v>104</v>
      </c>
    </row>
    <row r="11" customFormat="false" ht="15" hidden="false" customHeight="false" outlineLevel="0" collapsed="false">
      <c r="A11" s="19" t="s">
        <v>236</v>
      </c>
    </row>
    <row r="12" customFormat="false" ht="15" hidden="false" customHeight="false" outlineLevel="0" collapsed="false">
      <c r="A12" s="3" t="s">
        <v>13</v>
      </c>
      <c r="B12" s="3" t="s">
        <v>237</v>
      </c>
      <c r="C12" s="3" t="s">
        <v>238</v>
      </c>
      <c r="D12" s="3" t="s">
        <v>233</v>
      </c>
    </row>
    <row r="13" customFormat="false" ht="15" hidden="false" customHeight="false" outlineLevel="0" collapsed="false">
      <c r="A13" s="5" t="s">
        <v>106</v>
      </c>
      <c r="B13" s="4" t="s">
        <v>228</v>
      </c>
      <c r="C13" s="4" t="n">
        <v>7</v>
      </c>
      <c r="D13" s="4" t="n">
        <v>0</v>
      </c>
    </row>
    <row r="14" customFormat="false" ht="15" hidden="false" customHeight="false" outlineLevel="0" collapsed="false">
      <c r="A14" s="5" t="s">
        <v>137</v>
      </c>
      <c r="B14" s="4" t="s">
        <v>229</v>
      </c>
      <c r="C14" s="4" t="n">
        <v>25</v>
      </c>
      <c r="D14" s="4" t="n">
        <v>23</v>
      </c>
    </row>
    <row r="15" customFormat="false" ht="15" hidden="false" customHeight="false" outlineLevel="0" collapsed="false">
      <c r="A15" s="5" t="s">
        <v>132</v>
      </c>
      <c r="B15" s="4" t="s">
        <v>229</v>
      </c>
      <c r="C15" s="4" t="n">
        <v>4</v>
      </c>
      <c r="D15" s="4" t="n">
        <v>3</v>
      </c>
    </row>
    <row r="16" customFormat="false" ht="15" hidden="false" customHeight="false" outlineLevel="0" collapsed="false">
      <c r="A16" s="5" t="s">
        <v>197</v>
      </c>
      <c r="B16" s="4" t="s">
        <v>229</v>
      </c>
      <c r="C16" s="4" t="n">
        <v>3</v>
      </c>
      <c r="D16" s="4" t="n">
        <v>0</v>
      </c>
    </row>
    <row r="17" customFormat="false" ht="15" hidden="false" customHeight="false" outlineLevel="0" collapsed="false">
      <c r="A17" s="5" t="s">
        <v>21</v>
      </c>
      <c r="B17" s="4" t="s">
        <v>228</v>
      </c>
      <c r="C17" s="4" t="n">
        <v>27</v>
      </c>
      <c r="D17" s="4" t="n">
        <v>16</v>
      </c>
    </row>
    <row r="18" customFormat="false" ht="15" hidden="false" customHeight="false" outlineLevel="0" collapsed="false">
      <c r="A18" s="5" t="s">
        <v>143</v>
      </c>
      <c r="B18" s="4" t="s">
        <v>229</v>
      </c>
      <c r="C18" s="4" t="n">
        <v>26</v>
      </c>
      <c r="D18" s="4" t="n">
        <v>0</v>
      </c>
    </row>
    <row r="19" customFormat="false" ht="15" hidden="false" customHeight="false" outlineLevel="0" collapsed="false">
      <c r="A19" s="5" t="s">
        <v>34</v>
      </c>
      <c r="B19" s="4" t="s">
        <v>228</v>
      </c>
      <c r="C19" s="4" t="n">
        <v>13</v>
      </c>
      <c r="D19" s="4" t="n">
        <v>0</v>
      </c>
    </row>
    <row r="21" customFormat="false" ht="15" hidden="false" customHeight="false" outlineLevel="0" collapsed="false">
      <c r="A21" s="19" t="s">
        <v>239</v>
      </c>
    </row>
    <row r="22" customFormat="false" ht="15" hidden="false" customHeight="false" outlineLevel="0" collapsed="false">
      <c r="A22" s="3" t="s">
        <v>240</v>
      </c>
      <c r="B22" s="3" t="s">
        <v>241</v>
      </c>
      <c r="C22" s="3" t="s">
        <v>242</v>
      </c>
      <c r="D22" s="3" t="s">
        <v>230</v>
      </c>
    </row>
    <row r="23" customFormat="false" ht="15" hidden="false" customHeight="false" outlineLevel="0" collapsed="false">
      <c r="A23" s="5" t="s">
        <v>243</v>
      </c>
      <c r="B23" s="4" t="n">
        <v>14</v>
      </c>
      <c r="C23" s="4" t="n">
        <v>12</v>
      </c>
      <c r="D23" s="4" t="n">
        <v>26</v>
      </c>
    </row>
    <row r="24" customFormat="false" ht="15" hidden="false" customHeight="false" outlineLevel="0" collapsed="false">
      <c r="A24" s="5" t="s">
        <v>244</v>
      </c>
      <c r="B24" s="4" t="n">
        <v>8</v>
      </c>
      <c r="C24" s="4" t="n">
        <v>9</v>
      </c>
      <c r="D24" s="4" t="n">
        <v>17</v>
      </c>
    </row>
    <row r="25" customFormat="false" ht="15" hidden="false" customHeight="false" outlineLevel="0" collapsed="false">
      <c r="A25" s="5" t="s">
        <v>245</v>
      </c>
      <c r="B25" s="4" t="n">
        <v>3</v>
      </c>
      <c r="C25" s="4" t="n">
        <v>8</v>
      </c>
      <c r="D25" s="4" t="n">
        <v>11</v>
      </c>
    </row>
    <row r="26" customFormat="false" ht="15" hidden="false" customHeight="false" outlineLevel="0" collapsed="false">
      <c r="A26" s="5" t="s">
        <v>246</v>
      </c>
      <c r="B26" s="4" t="n">
        <v>4</v>
      </c>
      <c r="C26" s="4" t="n">
        <v>7</v>
      </c>
      <c r="D26" s="4" t="n">
        <v>11</v>
      </c>
    </row>
    <row r="27" customFormat="false" ht="15" hidden="false" customHeight="false" outlineLevel="0" collapsed="false">
      <c r="A27" s="5" t="s">
        <v>247</v>
      </c>
      <c r="B27" s="4" t="n">
        <v>5</v>
      </c>
      <c r="C27" s="4" t="n">
        <v>8</v>
      </c>
      <c r="D27" s="4" t="n">
        <v>13</v>
      </c>
    </row>
    <row r="28" customFormat="false" ht="15" hidden="false" customHeight="false" outlineLevel="0" collapsed="false">
      <c r="A28" s="5" t="s">
        <v>248</v>
      </c>
      <c r="B28" s="4" t="n">
        <v>13</v>
      </c>
      <c r="C28" s="4" t="n">
        <v>14</v>
      </c>
      <c r="D28" s="4" t="n">
        <v>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8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20" t="s">
        <v>249</v>
      </c>
      <c r="B1" s="20"/>
      <c r="C1" s="20"/>
      <c r="D1" s="20"/>
      <c r="E1" s="20"/>
      <c r="F1" s="20"/>
    </row>
    <row r="3" customFormat="false" ht="15" hidden="false" customHeight="false" outlineLevel="0" collapsed="false">
      <c r="A3" s="21" t="s">
        <v>250</v>
      </c>
      <c r="B3" s="21" t="s">
        <v>237</v>
      </c>
      <c r="C3" s="21" t="s">
        <v>3</v>
      </c>
      <c r="D3" s="21" t="s">
        <v>4</v>
      </c>
      <c r="E3" s="21" t="s">
        <v>5</v>
      </c>
      <c r="F3" s="21" t="s">
        <v>251</v>
      </c>
    </row>
    <row r="4" customFormat="false" ht="15" hidden="false" customHeight="false" outlineLevel="0" collapsed="false">
      <c r="A4" s="22" t="n">
        <v>1</v>
      </c>
      <c r="B4" s="22" t="s">
        <v>228</v>
      </c>
      <c r="C4" s="22" t="s">
        <v>252</v>
      </c>
      <c r="D4" s="22" t="s">
        <v>17</v>
      </c>
      <c r="E4" s="22" t="s">
        <v>28</v>
      </c>
      <c r="F4" s="22"/>
    </row>
    <row r="5" customFormat="false" ht="15" hidden="false" customHeight="false" outlineLevel="0" collapsed="false">
      <c r="A5" s="22" t="n">
        <v>2</v>
      </c>
      <c r="B5" s="22" t="s">
        <v>228</v>
      </c>
      <c r="C5" s="22" t="s">
        <v>253</v>
      </c>
      <c r="D5" s="22" t="s">
        <v>254</v>
      </c>
      <c r="E5" s="22" t="s">
        <v>37</v>
      </c>
      <c r="F5" s="22"/>
    </row>
    <row r="6" customFormat="false" ht="15" hidden="false" customHeight="false" outlineLevel="0" collapsed="false">
      <c r="A6" s="22" t="n">
        <v>3</v>
      </c>
      <c r="B6" s="22" t="s">
        <v>228</v>
      </c>
      <c r="C6" s="22" t="s">
        <v>255</v>
      </c>
      <c r="D6" s="22" t="s">
        <v>39</v>
      </c>
      <c r="E6" s="22" t="s">
        <v>24</v>
      </c>
      <c r="F6" s="22"/>
    </row>
    <row r="7" customFormat="false" ht="15" hidden="false" customHeight="false" outlineLevel="0" collapsed="false">
      <c r="A7" s="22" t="n">
        <v>4</v>
      </c>
      <c r="B7" s="22" t="s">
        <v>228</v>
      </c>
      <c r="C7" s="22" t="s">
        <v>255</v>
      </c>
      <c r="D7" s="22" t="s">
        <v>165</v>
      </c>
      <c r="E7" s="22" t="s">
        <v>53</v>
      </c>
      <c r="F7" s="22"/>
    </row>
    <row r="8" customFormat="false" ht="15" hidden="false" customHeight="false" outlineLevel="0" collapsed="false">
      <c r="A8" s="22" t="n">
        <v>5</v>
      </c>
      <c r="B8" s="22" t="s">
        <v>228</v>
      </c>
      <c r="C8" s="22" t="s">
        <v>190</v>
      </c>
      <c r="D8" s="22" t="s">
        <v>97</v>
      </c>
      <c r="E8" s="22" t="s">
        <v>37</v>
      </c>
      <c r="F8" s="22"/>
    </row>
    <row r="9" customFormat="false" ht="15" hidden="false" customHeight="false" outlineLevel="0" collapsed="false">
      <c r="A9" s="22" t="n">
        <v>6</v>
      </c>
      <c r="B9" s="22" t="s">
        <v>228</v>
      </c>
      <c r="C9" s="22" t="s">
        <v>256</v>
      </c>
      <c r="D9" s="22" t="s">
        <v>257</v>
      </c>
      <c r="E9" s="22" t="s">
        <v>40</v>
      </c>
      <c r="F9" s="22"/>
    </row>
    <row r="10" customFormat="false" ht="15" hidden="false" customHeight="false" outlineLevel="0" collapsed="false">
      <c r="A10" s="22" t="n">
        <v>7</v>
      </c>
      <c r="B10" s="22" t="s">
        <v>228</v>
      </c>
      <c r="C10" s="22" t="s">
        <v>258</v>
      </c>
      <c r="D10" s="22" t="s">
        <v>259</v>
      </c>
      <c r="E10" s="22" t="s">
        <v>40</v>
      </c>
      <c r="F10" s="22"/>
    </row>
    <row r="11" customFormat="false" ht="15" hidden="false" customHeight="false" outlineLevel="0" collapsed="false">
      <c r="A11" s="22" t="n">
        <v>8</v>
      </c>
      <c r="B11" s="22" t="s">
        <v>228</v>
      </c>
      <c r="C11" s="22" t="s">
        <v>260</v>
      </c>
      <c r="D11" s="22" t="s">
        <v>261</v>
      </c>
      <c r="E11" s="22" t="s">
        <v>28</v>
      </c>
      <c r="F11" s="22"/>
    </row>
    <row r="12" customFormat="false" ht="15" hidden="false" customHeight="false" outlineLevel="0" collapsed="false">
      <c r="A12" s="22" t="n">
        <v>9</v>
      </c>
      <c r="B12" s="22" t="s">
        <v>228</v>
      </c>
      <c r="C12" s="22" t="s">
        <v>129</v>
      </c>
      <c r="D12" s="22" t="s">
        <v>262</v>
      </c>
      <c r="E12" s="22" t="s">
        <v>48</v>
      </c>
      <c r="F12" s="22"/>
    </row>
    <row r="13" customFormat="false" ht="15" hidden="false" customHeight="false" outlineLevel="0" collapsed="false">
      <c r="A13" s="22" t="n">
        <v>10</v>
      </c>
      <c r="B13" s="22" t="s">
        <v>228</v>
      </c>
      <c r="C13" s="22" t="s">
        <v>129</v>
      </c>
      <c r="D13" s="22" t="s">
        <v>263</v>
      </c>
      <c r="E13" s="22" t="s">
        <v>24</v>
      </c>
      <c r="F13" s="22"/>
    </row>
    <row r="14" customFormat="false" ht="15" hidden="false" customHeight="false" outlineLevel="0" collapsed="false">
      <c r="A14" s="22" t="n">
        <v>11</v>
      </c>
      <c r="B14" s="22" t="s">
        <v>228</v>
      </c>
      <c r="C14" s="22" t="s">
        <v>129</v>
      </c>
      <c r="D14" s="22" t="s">
        <v>264</v>
      </c>
      <c r="E14" s="22" t="s">
        <v>28</v>
      </c>
      <c r="F14" s="22"/>
    </row>
    <row r="15" customFormat="false" ht="15" hidden="false" customHeight="false" outlineLevel="0" collapsed="false">
      <c r="A15" s="22" t="n">
        <v>12</v>
      </c>
      <c r="B15" s="22" t="s">
        <v>228</v>
      </c>
      <c r="C15" s="22" t="s">
        <v>129</v>
      </c>
      <c r="D15" s="22" t="s">
        <v>265</v>
      </c>
      <c r="E15" s="22" t="s">
        <v>40</v>
      </c>
      <c r="F15" s="22"/>
    </row>
    <row r="16" customFormat="false" ht="15" hidden="false" customHeight="false" outlineLevel="0" collapsed="false">
      <c r="A16" s="22" t="n">
        <v>13</v>
      </c>
      <c r="B16" s="22" t="s">
        <v>228</v>
      </c>
      <c r="C16" s="22" t="s">
        <v>129</v>
      </c>
      <c r="D16" s="22" t="s">
        <v>266</v>
      </c>
      <c r="E16" s="22" t="s">
        <v>74</v>
      </c>
      <c r="F16" s="22"/>
    </row>
    <row r="17" customFormat="false" ht="15" hidden="false" customHeight="false" outlineLevel="0" collapsed="false">
      <c r="A17" s="22" t="n">
        <v>14</v>
      </c>
      <c r="B17" s="22" t="s">
        <v>228</v>
      </c>
      <c r="C17" s="22" t="s">
        <v>129</v>
      </c>
      <c r="D17" s="22" t="s">
        <v>267</v>
      </c>
      <c r="E17" s="22" t="s">
        <v>24</v>
      </c>
      <c r="F17" s="22"/>
    </row>
    <row r="18" customFormat="false" ht="15" hidden="false" customHeight="false" outlineLevel="0" collapsed="false">
      <c r="A18" s="22" t="n">
        <v>15</v>
      </c>
      <c r="B18" s="22" t="s">
        <v>228</v>
      </c>
      <c r="C18" s="22" t="s">
        <v>129</v>
      </c>
      <c r="D18" s="22" t="s">
        <v>268</v>
      </c>
      <c r="E18" s="22" t="s">
        <v>40</v>
      </c>
      <c r="F18" s="22"/>
    </row>
    <row r="19" customFormat="false" ht="15" hidden="false" customHeight="false" outlineLevel="0" collapsed="false">
      <c r="A19" s="22" t="n">
        <v>16</v>
      </c>
      <c r="B19" s="22" t="s">
        <v>228</v>
      </c>
      <c r="C19" s="22" t="s">
        <v>129</v>
      </c>
      <c r="D19" s="22" t="s">
        <v>269</v>
      </c>
      <c r="E19" s="22" t="s">
        <v>74</v>
      </c>
      <c r="F19" s="22"/>
    </row>
    <row r="20" customFormat="false" ht="15" hidden="false" customHeight="false" outlineLevel="0" collapsed="false">
      <c r="A20" s="22" t="n">
        <v>17</v>
      </c>
      <c r="B20" s="22" t="s">
        <v>228</v>
      </c>
      <c r="C20" s="22" t="s">
        <v>129</v>
      </c>
      <c r="D20" s="22" t="s">
        <v>270</v>
      </c>
      <c r="E20" s="22" t="s">
        <v>18</v>
      </c>
      <c r="F20" s="22"/>
    </row>
    <row r="21" customFormat="false" ht="15" hidden="false" customHeight="false" outlineLevel="0" collapsed="false">
      <c r="A21" s="22" t="n">
        <v>18</v>
      </c>
      <c r="B21" s="22" t="s">
        <v>228</v>
      </c>
      <c r="C21" s="22" t="s">
        <v>129</v>
      </c>
      <c r="D21" s="22" t="s">
        <v>271</v>
      </c>
      <c r="E21" s="22" t="s">
        <v>18</v>
      </c>
      <c r="F21" s="22"/>
    </row>
    <row r="22" customFormat="false" ht="15" hidden="false" customHeight="false" outlineLevel="0" collapsed="false">
      <c r="A22" s="22" t="n">
        <v>19</v>
      </c>
      <c r="B22" s="22" t="s">
        <v>228</v>
      </c>
      <c r="C22" s="22" t="s">
        <v>129</v>
      </c>
      <c r="D22" s="22" t="s">
        <v>272</v>
      </c>
      <c r="E22" s="22" t="s">
        <v>24</v>
      </c>
      <c r="F22" s="22"/>
    </row>
    <row r="23" customFormat="false" ht="15" hidden="false" customHeight="false" outlineLevel="0" collapsed="false">
      <c r="A23" s="22" t="n">
        <v>20</v>
      </c>
      <c r="B23" s="22" t="s">
        <v>228</v>
      </c>
      <c r="C23" s="22" t="s">
        <v>129</v>
      </c>
      <c r="D23" s="22" t="s">
        <v>273</v>
      </c>
      <c r="E23" s="22" t="s">
        <v>74</v>
      </c>
      <c r="F23" s="22"/>
    </row>
    <row r="24" customFormat="false" ht="15" hidden="false" customHeight="false" outlineLevel="0" collapsed="false">
      <c r="A24" s="22" t="n">
        <v>21</v>
      </c>
      <c r="B24" s="22" t="s">
        <v>228</v>
      </c>
      <c r="C24" s="22" t="s">
        <v>129</v>
      </c>
      <c r="D24" s="22" t="s">
        <v>274</v>
      </c>
      <c r="E24" s="22" t="s">
        <v>24</v>
      </c>
      <c r="F24" s="22"/>
    </row>
    <row r="25" customFormat="false" ht="15" hidden="false" customHeight="false" outlineLevel="0" collapsed="false">
      <c r="A25" s="22" t="n">
        <v>22</v>
      </c>
      <c r="B25" s="22" t="s">
        <v>228</v>
      </c>
      <c r="C25" s="22" t="s">
        <v>129</v>
      </c>
      <c r="D25" s="22" t="s">
        <v>275</v>
      </c>
      <c r="E25" s="22" t="s">
        <v>24</v>
      </c>
      <c r="F25" s="22"/>
    </row>
    <row r="26" customFormat="false" ht="15" hidden="false" customHeight="false" outlineLevel="0" collapsed="false">
      <c r="A26" s="22" t="n">
        <v>23</v>
      </c>
      <c r="B26" s="22" t="s">
        <v>228</v>
      </c>
      <c r="C26" s="22" t="s">
        <v>129</v>
      </c>
      <c r="D26" s="22" t="s">
        <v>276</v>
      </c>
      <c r="E26" s="22" t="s">
        <v>74</v>
      </c>
      <c r="F26" s="22"/>
    </row>
    <row r="27" customFormat="false" ht="15" hidden="false" customHeight="false" outlineLevel="0" collapsed="false">
      <c r="A27" s="22" t="n">
        <v>24</v>
      </c>
      <c r="B27" s="22" t="s">
        <v>228</v>
      </c>
      <c r="C27" s="22" t="s">
        <v>129</v>
      </c>
      <c r="D27" s="22" t="s">
        <v>277</v>
      </c>
      <c r="E27" s="22" t="s">
        <v>40</v>
      </c>
      <c r="F27" s="22"/>
    </row>
    <row r="28" customFormat="false" ht="15" hidden="false" customHeight="false" outlineLevel="0" collapsed="false">
      <c r="A28" s="22" t="n">
        <v>25</v>
      </c>
      <c r="B28" s="22" t="s">
        <v>228</v>
      </c>
      <c r="C28" s="22" t="s">
        <v>129</v>
      </c>
      <c r="D28" s="22" t="s">
        <v>278</v>
      </c>
      <c r="E28" s="22" t="s">
        <v>24</v>
      </c>
      <c r="F28" s="22"/>
    </row>
    <row r="29" customFormat="false" ht="15" hidden="false" customHeight="false" outlineLevel="0" collapsed="false">
      <c r="A29" s="22" t="n">
        <v>26</v>
      </c>
      <c r="B29" s="22" t="s">
        <v>228</v>
      </c>
      <c r="C29" s="22" t="s">
        <v>129</v>
      </c>
      <c r="D29" s="22" t="s">
        <v>279</v>
      </c>
      <c r="E29" s="22" t="s">
        <v>24</v>
      </c>
      <c r="F29" s="22"/>
    </row>
    <row r="30" customFormat="false" ht="15" hidden="false" customHeight="false" outlineLevel="0" collapsed="false">
      <c r="A30" s="22" t="n">
        <v>27</v>
      </c>
      <c r="B30" s="22" t="s">
        <v>228</v>
      </c>
      <c r="C30" s="22" t="s">
        <v>280</v>
      </c>
      <c r="D30" s="22" t="s">
        <v>281</v>
      </c>
      <c r="E30" s="22" t="s">
        <v>24</v>
      </c>
      <c r="F30" s="22"/>
    </row>
    <row r="31" customFormat="false" ht="15" hidden="false" customHeight="false" outlineLevel="0" collapsed="false">
      <c r="A31" s="22" t="n">
        <v>28</v>
      </c>
      <c r="B31" s="22" t="s">
        <v>228</v>
      </c>
      <c r="C31" s="22" t="s">
        <v>282</v>
      </c>
      <c r="D31" s="22" t="s">
        <v>151</v>
      </c>
      <c r="E31" s="22" t="s">
        <v>53</v>
      </c>
      <c r="F31" s="22"/>
    </row>
    <row r="32" customFormat="false" ht="15" hidden="false" customHeight="false" outlineLevel="0" collapsed="false">
      <c r="A32" s="22" t="n">
        <v>29</v>
      </c>
      <c r="B32" s="22" t="s">
        <v>228</v>
      </c>
      <c r="C32" s="22" t="s">
        <v>283</v>
      </c>
      <c r="D32" s="22" t="s">
        <v>91</v>
      </c>
      <c r="E32" s="22" t="s">
        <v>74</v>
      </c>
      <c r="F32" s="22"/>
    </row>
    <row r="33" customFormat="false" ht="15" hidden="false" customHeight="false" outlineLevel="0" collapsed="false">
      <c r="A33" s="22" t="n">
        <v>30</v>
      </c>
      <c r="B33" s="22" t="s">
        <v>228</v>
      </c>
      <c r="C33" s="22" t="s">
        <v>284</v>
      </c>
      <c r="D33" s="22" t="s">
        <v>110</v>
      </c>
      <c r="E33" s="22" t="s">
        <v>40</v>
      </c>
      <c r="F33" s="22"/>
    </row>
    <row r="34" customFormat="false" ht="15" hidden="false" customHeight="false" outlineLevel="0" collapsed="false">
      <c r="A34" s="22" t="n">
        <v>31</v>
      </c>
      <c r="B34" s="22" t="s">
        <v>228</v>
      </c>
      <c r="C34" s="22" t="s">
        <v>285</v>
      </c>
      <c r="D34" s="22" t="s">
        <v>286</v>
      </c>
      <c r="E34" s="22" t="s">
        <v>48</v>
      </c>
      <c r="F34" s="22"/>
    </row>
    <row r="35" customFormat="false" ht="15" hidden="false" customHeight="false" outlineLevel="0" collapsed="false">
      <c r="A35" s="22" t="n">
        <v>32</v>
      </c>
      <c r="B35" s="22" t="s">
        <v>228</v>
      </c>
      <c r="C35" s="22" t="s">
        <v>287</v>
      </c>
      <c r="D35" s="22" t="s">
        <v>288</v>
      </c>
      <c r="E35" s="22" t="s">
        <v>74</v>
      </c>
      <c r="F35" s="22"/>
    </row>
    <row r="36" customFormat="false" ht="15" hidden="false" customHeight="false" outlineLevel="0" collapsed="false">
      <c r="A36" s="22" t="n">
        <v>33</v>
      </c>
      <c r="B36" s="22" t="s">
        <v>228</v>
      </c>
      <c r="C36" s="22" t="s">
        <v>289</v>
      </c>
      <c r="D36" s="22" t="s">
        <v>290</v>
      </c>
      <c r="E36" s="22" t="s">
        <v>48</v>
      </c>
      <c r="F36" s="22"/>
    </row>
    <row r="37" customFormat="false" ht="15" hidden="false" customHeight="false" outlineLevel="0" collapsed="false">
      <c r="A37" s="22" t="n">
        <v>34</v>
      </c>
      <c r="B37" s="22" t="s">
        <v>228</v>
      </c>
      <c r="C37" s="22" t="s">
        <v>291</v>
      </c>
      <c r="D37" s="22" t="s">
        <v>292</v>
      </c>
      <c r="E37" s="22" t="s">
        <v>48</v>
      </c>
      <c r="F37" s="22"/>
    </row>
    <row r="38" customFormat="false" ht="15" hidden="false" customHeight="false" outlineLevel="0" collapsed="false">
      <c r="A38" s="22" t="n">
        <v>35</v>
      </c>
      <c r="B38" s="22" t="s">
        <v>228</v>
      </c>
      <c r="C38" s="22" t="s">
        <v>291</v>
      </c>
      <c r="D38" s="22" t="s">
        <v>293</v>
      </c>
      <c r="E38" s="22" t="s">
        <v>18</v>
      </c>
      <c r="F38" s="22"/>
    </row>
    <row r="39" customFormat="false" ht="15" hidden="false" customHeight="false" outlineLevel="0" collapsed="false">
      <c r="A39" s="22" t="n">
        <v>36</v>
      </c>
      <c r="B39" s="22" t="s">
        <v>228</v>
      </c>
      <c r="C39" s="22" t="s">
        <v>294</v>
      </c>
      <c r="D39" s="22" t="s">
        <v>80</v>
      </c>
      <c r="E39" s="22" t="s">
        <v>18</v>
      </c>
      <c r="F39" s="22"/>
    </row>
    <row r="40" customFormat="false" ht="15" hidden="false" customHeight="false" outlineLevel="0" collapsed="false">
      <c r="A40" s="22" t="n">
        <v>37</v>
      </c>
      <c r="B40" s="22" t="s">
        <v>228</v>
      </c>
      <c r="C40" s="22" t="s">
        <v>295</v>
      </c>
      <c r="D40" s="22" t="s">
        <v>91</v>
      </c>
      <c r="E40" s="22" t="s">
        <v>40</v>
      </c>
      <c r="F40" s="22"/>
    </row>
    <row r="41" customFormat="false" ht="15" hidden="false" customHeight="false" outlineLevel="0" collapsed="false">
      <c r="A41" s="22" t="n">
        <v>38</v>
      </c>
      <c r="B41" s="22" t="s">
        <v>228</v>
      </c>
      <c r="C41" s="22" t="s">
        <v>296</v>
      </c>
      <c r="D41" s="22" t="s">
        <v>297</v>
      </c>
      <c r="E41" s="22" t="s">
        <v>28</v>
      </c>
      <c r="F41" s="22"/>
    </row>
    <row r="42" customFormat="false" ht="15" hidden="false" customHeight="false" outlineLevel="0" collapsed="false">
      <c r="A42" s="22" t="n">
        <v>39</v>
      </c>
      <c r="B42" s="22" t="s">
        <v>228</v>
      </c>
      <c r="C42" s="22" t="s">
        <v>296</v>
      </c>
      <c r="D42" s="22" t="s">
        <v>226</v>
      </c>
      <c r="E42" s="22" t="s">
        <v>28</v>
      </c>
      <c r="F42" s="22"/>
    </row>
    <row r="43" customFormat="false" ht="15" hidden="false" customHeight="false" outlineLevel="0" collapsed="false">
      <c r="A43" s="22" t="n">
        <v>40</v>
      </c>
      <c r="B43" s="22" t="s">
        <v>228</v>
      </c>
      <c r="C43" s="22" t="s">
        <v>298</v>
      </c>
      <c r="D43" s="22" t="s">
        <v>299</v>
      </c>
      <c r="E43" s="22" t="s">
        <v>37</v>
      </c>
      <c r="F43" s="22"/>
    </row>
    <row r="44" customFormat="false" ht="15" hidden="false" customHeight="false" outlineLevel="0" collapsed="false">
      <c r="A44" s="22" t="n">
        <v>41</v>
      </c>
      <c r="B44" s="22" t="s">
        <v>228</v>
      </c>
      <c r="C44" s="22" t="s">
        <v>300</v>
      </c>
      <c r="D44" s="22" t="s">
        <v>301</v>
      </c>
      <c r="E44" s="22" t="s">
        <v>24</v>
      </c>
      <c r="F44" s="22"/>
    </row>
    <row r="45" customFormat="false" ht="15" hidden="false" customHeight="false" outlineLevel="0" collapsed="false">
      <c r="A45" s="22" t="n">
        <v>42</v>
      </c>
      <c r="B45" s="22" t="s">
        <v>228</v>
      </c>
      <c r="C45" s="22" t="s">
        <v>302</v>
      </c>
      <c r="D45" s="22" t="s">
        <v>303</v>
      </c>
      <c r="E45" s="22" t="s">
        <v>28</v>
      </c>
      <c r="F45" s="22"/>
    </row>
    <row r="46" customFormat="false" ht="15" hidden="false" customHeight="false" outlineLevel="0" collapsed="false">
      <c r="A46" s="22" t="n">
        <v>43</v>
      </c>
      <c r="B46" s="22" t="s">
        <v>228</v>
      </c>
      <c r="C46" s="22" t="s">
        <v>304</v>
      </c>
      <c r="D46" s="22" t="s">
        <v>305</v>
      </c>
      <c r="E46" s="22" t="s">
        <v>37</v>
      </c>
      <c r="F46" s="22"/>
    </row>
    <row r="47" customFormat="false" ht="15" hidden="false" customHeight="false" outlineLevel="0" collapsed="false">
      <c r="A47" s="22" t="n">
        <v>44</v>
      </c>
      <c r="B47" s="22" t="s">
        <v>228</v>
      </c>
      <c r="C47" s="22" t="s">
        <v>306</v>
      </c>
      <c r="D47" s="22" t="s">
        <v>307</v>
      </c>
      <c r="E47" s="22" t="s">
        <v>40</v>
      </c>
      <c r="F47" s="22"/>
    </row>
    <row r="48" customFormat="false" ht="15" hidden="false" customHeight="false" outlineLevel="0" collapsed="false">
      <c r="A48" s="22" t="n">
        <v>45</v>
      </c>
      <c r="B48" s="22" t="s">
        <v>228</v>
      </c>
      <c r="C48" s="22" t="s">
        <v>308</v>
      </c>
      <c r="D48" s="22" t="s">
        <v>309</v>
      </c>
      <c r="E48" s="22" t="s">
        <v>28</v>
      </c>
      <c r="F48" s="22"/>
    </row>
    <row r="49" customFormat="false" ht="15" hidden="false" customHeight="false" outlineLevel="0" collapsed="false">
      <c r="A49" s="22" t="n">
        <v>46</v>
      </c>
      <c r="B49" s="22" t="s">
        <v>228</v>
      </c>
      <c r="C49" s="22" t="s">
        <v>310</v>
      </c>
      <c r="D49" s="22" t="s">
        <v>311</v>
      </c>
      <c r="E49" s="22" t="s">
        <v>40</v>
      </c>
      <c r="F49" s="22"/>
    </row>
    <row r="50" customFormat="false" ht="15" hidden="false" customHeight="false" outlineLevel="0" collapsed="false">
      <c r="A50" s="22" t="n">
        <v>47</v>
      </c>
      <c r="B50" s="22" t="s">
        <v>228</v>
      </c>
      <c r="C50" s="22" t="s">
        <v>312</v>
      </c>
      <c r="D50" s="22" t="s">
        <v>313</v>
      </c>
      <c r="E50" s="22" t="s">
        <v>24</v>
      </c>
      <c r="F50" s="22"/>
    </row>
    <row r="51" customFormat="false" ht="15" hidden="false" customHeight="false" outlineLevel="0" collapsed="false">
      <c r="A51" s="22" t="n">
        <v>48</v>
      </c>
      <c r="B51" s="22" t="s">
        <v>228</v>
      </c>
      <c r="C51" s="22" t="s">
        <v>314</v>
      </c>
      <c r="D51" s="22" t="s">
        <v>315</v>
      </c>
      <c r="E51" s="22" t="s">
        <v>40</v>
      </c>
      <c r="F51" s="22"/>
    </row>
    <row r="52" customFormat="false" ht="15" hidden="false" customHeight="false" outlineLevel="0" collapsed="false">
      <c r="A52" s="22" t="n">
        <v>49</v>
      </c>
      <c r="B52" s="22" t="s">
        <v>228</v>
      </c>
      <c r="C52" s="22" t="s">
        <v>316</v>
      </c>
      <c r="D52" s="22" t="s">
        <v>317</v>
      </c>
      <c r="E52" s="22" t="s">
        <v>24</v>
      </c>
      <c r="F52" s="22"/>
    </row>
    <row r="53" customFormat="false" ht="15" hidden="false" customHeight="false" outlineLevel="0" collapsed="false">
      <c r="A53" s="22" t="n">
        <v>50</v>
      </c>
      <c r="B53" s="22" t="s">
        <v>228</v>
      </c>
      <c r="C53" s="22" t="s">
        <v>318</v>
      </c>
      <c r="D53" s="22" t="s">
        <v>319</v>
      </c>
      <c r="E53" s="22" t="s">
        <v>24</v>
      </c>
      <c r="F53" s="22"/>
    </row>
    <row r="54" customFormat="false" ht="15" hidden="false" customHeight="false" outlineLevel="0" collapsed="false">
      <c r="A54" s="22" t="n">
        <v>51</v>
      </c>
      <c r="B54" s="22" t="s">
        <v>228</v>
      </c>
      <c r="C54" s="22" t="s">
        <v>192</v>
      </c>
      <c r="D54" s="22" t="s">
        <v>320</v>
      </c>
      <c r="E54" s="22" t="s">
        <v>24</v>
      </c>
      <c r="F54" s="22"/>
    </row>
    <row r="55" customFormat="false" ht="15" hidden="false" customHeight="false" outlineLevel="0" collapsed="false">
      <c r="A55" s="22" t="n">
        <v>52</v>
      </c>
      <c r="B55" s="22" t="s">
        <v>228</v>
      </c>
      <c r="C55" s="22" t="s">
        <v>321</v>
      </c>
      <c r="D55" s="22" t="s">
        <v>322</v>
      </c>
      <c r="E55" s="22" t="s">
        <v>24</v>
      </c>
      <c r="F55" s="22"/>
    </row>
    <row r="56" customFormat="false" ht="15" hidden="false" customHeight="false" outlineLevel="0" collapsed="false">
      <c r="A56" s="22" t="n">
        <v>53</v>
      </c>
      <c r="B56" s="22" t="s">
        <v>228</v>
      </c>
      <c r="C56" s="22" t="s">
        <v>321</v>
      </c>
      <c r="D56" s="22" t="s">
        <v>323</v>
      </c>
      <c r="E56" s="22" t="s">
        <v>74</v>
      </c>
      <c r="F56" s="22"/>
    </row>
    <row r="57" customFormat="false" ht="15" hidden="false" customHeight="false" outlineLevel="0" collapsed="false">
      <c r="A57" s="22" t="n">
        <v>54</v>
      </c>
      <c r="B57" s="22" t="s">
        <v>228</v>
      </c>
      <c r="C57" s="22" t="s">
        <v>321</v>
      </c>
      <c r="D57" s="22" t="s">
        <v>324</v>
      </c>
      <c r="E57" s="22" t="s">
        <v>28</v>
      </c>
      <c r="F57" s="22"/>
    </row>
    <row r="58" customFormat="false" ht="15" hidden="false" customHeight="false" outlineLevel="0" collapsed="false">
      <c r="A58" s="22" t="n">
        <v>55</v>
      </c>
      <c r="B58" s="22" t="s">
        <v>228</v>
      </c>
      <c r="C58" s="22" t="s">
        <v>203</v>
      </c>
      <c r="D58" s="22" t="s">
        <v>325</v>
      </c>
      <c r="E58" s="22" t="s">
        <v>18</v>
      </c>
      <c r="F58" s="22"/>
    </row>
    <row r="59" customFormat="false" ht="15" hidden="false" customHeight="false" outlineLevel="0" collapsed="false">
      <c r="A59" s="22" t="n">
        <v>56</v>
      </c>
      <c r="B59" s="22" t="s">
        <v>228</v>
      </c>
      <c r="C59" s="22" t="s">
        <v>203</v>
      </c>
      <c r="D59" s="22" t="s">
        <v>326</v>
      </c>
      <c r="E59" s="22" t="s">
        <v>28</v>
      </c>
      <c r="F59" s="22"/>
    </row>
    <row r="60" customFormat="false" ht="15" hidden="false" customHeight="false" outlineLevel="0" collapsed="false">
      <c r="A60" s="22" t="n">
        <v>57</v>
      </c>
      <c r="B60" s="22" t="s">
        <v>228</v>
      </c>
      <c r="C60" s="22" t="s">
        <v>327</v>
      </c>
      <c r="D60" s="22" t="s">
        <v>95</v>
      </c>
      <c r="E60" s="22" t="s">
        <v>24</v>
      </c>
      <c r="F60" s="22"/>
    </row>
    <row r="61" customFormat="false" ht="15" hidden="false" customHeight="false" outlineLevel="0" collapsed="false">
      <c r="A61" s="22" t="n">
        <v>58</v>
      </c>
      <c r="B61" s="22" t="s">
        <v>228</v>
      </c>
      <c r="C61" s="22" t="s">
        <v>328</v>
      </c>
      <c r="D61" s="22" t="s">
        <v>39</v>
      </c>
      <c r="E61" s="22" t="s">
        <v>28</v>
      </c>
      <c r="F61" s="22"/>
    </row>
    <row r="62" customFormat="false" ht="15" hidden="false" customHeight="false" outlineLevel="0" collapsed="false">
      <c r="A62" s="22" t="n">
        <v>59</v>
      </c>
      <c r="B62" s="22" t="s">
        <v>228</v>
      </c>
      <c r="C62" s="22" t="s">
        <v>329</v>
      </c>
      <c r="D62" s="22" t="s">
        <v>204</v>
      </c>
      <c r="E62" s="22" t="s">
        <v>74</v>
      </c>
      <c r="F62" s="22"/>
    </row>
    <row r="63" customFormat="false" ht="15" hidden="false" customHeight="false" outlineLevel="0" collapsed="false">
      <c r="A63" s="22" t="n">
        <v>60</v>
      </c>
      <c r="B63" s="22" t="s">
        <v>229</v>
      </c>
      <c r="C63" s="22" t="s">
        <v>330</v>
      </c>
      <c r="D63" s="22" t="s">
        <v>331</v>
      </c>
      <c r="E63" s="22" t="s">
        <v>131</v>
      </c>
      <c r="F63" s="22"/>
    </row>
    <row r="64" customFormat="false" ht="15" hidden="false" customHeight="false" outlineLevel="0" collapsed="false">
      <c r="A64" s="22" t="n">
        <v>61</v>
      </c>
      <c r="B64" s="22" t="s">
        <v>229</v>
      </c>
      <c r="C64" s="22" t="s">
        <v>332</v>
      </c>
      <c r="D64" s="22" t="s">
        <v>333</v>
      </c>
      <c r="E64" s="22" t="s">
        <v>131</v>
      </c>
      <c r="F64" s="22"/>
    </row>
    <row r="65" customFormat="false" ht="15" hidden="false" customHeight="false" outlineLevel="0" collapsed="false">
      <c r="A65" s="22" t="n">
        <v>62</v>
      </c>
      <c r="B65" s="22" t="s">
        <v>229</v>
      </c>
      <c r="C65" s="22" t="s">
        <v>334</v>
      </c>
      <c r="D65" s="22" t="s">
        <v>178</v>
      </c>
      <c r="E65" s="22" t="s">
        <v>131</v>
      </c>
      <c r="F65" s="22"/>
    </row>
    <row r="66" customFormat="false" ht="15" hidden="false" customHeight="false" outlineLevel="0" collapsed="false">
      <c r="A66" s="22" t="n">
        <v>63</v>
      </c>
      <c r="B66" s="22" t="s">
        <v>229</v>
      </c>
      <c r="C66" s="22" t="s">
        <v>335</v>
      </c>
      <c r="D66" s="22" t="s">
        <v>320</v>
      </c>
      <c r="E66" s="22" t="s">
        <v>37</v>
      </c>
      <c r="F66" s="22"/>
    </row>
    <row r="67" customFormat="false" ht="15" hidden="false" customHeight="false" outlineLevel="0" collapsed="false">
      <c r="A67" s="22" t="n">
        <v>64</v>
      </c>
      <c r="B67" s="22" t="s">
        <v>229</v>
      </c>
      <c r="C67" s="22" t="s">
        <v>336</v>
      </c>
      <c r="D67" s="22" t="s">
        <v>178</v>
      </c>
      <c r="E67" s="22" t="s">
        <v>131</v>
      </c>
      <c r="F67" s="22"/>
    </row>
    <row r="68" customFormat="false" ht="15" hidden="false" customHeight="false" outlineLevel="0" collapsed="false">
      <c r="A68" s="22" t="n">
        <v>65</v>
      </c>
      <c r="B68" s="22" t="s">
        <v>229</v>
      </c>
      <c r="C68" s="22" t="s">
        <v>337</v>
      </c>
      <c r="D68" s="22" t="s">
        <v>338</v>
      </c>
      <c r="E68" s="22" t="s">
        <v>74</v>
      </c>
      <c r="F68" s="22"/>
    </row>
    <row r="69" customFormat="false" ht="15" hidden="false" customHeight="false" outlineLevel="0" collapsed="false">
      <c r="A69" s="22" t="n">
        <v>66</v>
      </c>
      <c r="B69" s="22" t="s">
        <v>229</v>
      </c>
      <c r="C69" s="22" t="s">
        <v>339</v>
      </c>
      <c r="D69" s="22" t="s">
        <v>141</v>
      </c>
      <c r="E69" s="22" t="s">
        <v>37</v>
      </c>
      <c r="F69" s="22"/>
    </row>
    <row r="70" customFormat="false" ht="15" hidden="false" customHeight="false" outlineLevel="0" collapsed="false">
      <c r="A70" s="22" t="n">
        <v>67</v>
      </c>
      <c r="B70" s="22" t="s">
        <v>229</v>
      </c>
      <c r="C70" s="22" t="s">
        <v>340</v>
      </c>
      <c r="D70" s="22" t="s">
        <v>341</v>
      </c>
      <c r="E70" s="22" t="s">
        <v>131</v>
      </c>
      <c r="F70" s="22"/>
    </row>
    <row r="71" customFormat="false" ht="15" hidden="false" customHeight="false" outlineLevel="0" collapsed="false">
      <c r="A71" s="22" t="n">
        <v>68</v>
      </c>
      <c r="B71" s="22" t="s">
        <v>229</v>
      </c>
      <c r="C71" s="22" t="s">
        <v>342</v>
      </c>
      <c r="D71" s="22" t="s">
        <v>343</v>
      </c>
      <c r="E71" s="22" t="s">
        <v>37</v>
      </c>
      <c r="F71" s="22"/>
    </row>
    <row r="72" customFormat="false" ht="15" hidden="false" customHeight="false" outlineLevel="0" collapsed="false">
      <c r="A72" s="22" t="n">
        <v>69</v>
      </c>
      <c r="B72" s="22" t="s">
        <v>229</v>
      </c>
      <c r="C72" s="22" t="s">
        <v>344</v>
      </c>
      <c r="D72" s="22" t="s">
        <v>91</v>
      </c>
      <c r="E72" s="22" t="s">
        <v>131</v>
      </c>
      <c r="F72" s="22"/>
    </row>
    <row r="73" customFormat="false" ht="15" hidden="false" customHeight="false" outlineLevel="0" collapsed="false">
      <c r="A73" s="22" t="n">
        <v>70</v>
      </c>
      <c r="B73" s="22" t="s">
        <v>229</v>
      </c>
      <c r="C73" s="22" t="s">
        <v>345</v>
      </c>
      <c r="D73" s="22" t="s">
        <v>17</v>
      </c>
      <c r="E73" s="22" t="s">
        <v>71</v>
      </c>
      <c r="F73" s="22"/>
    </row>
    <row r="74" customFormat="false" ht="15" hidden="false" customHeight="false" outlineLevel="0" collapsed="false">
      <c r="A74" s="22" t="n">
        <v>71</v>
      </c>
      <c r="B74" s="22" t="s">
        <v>229</v>
      </c>
      <c r="C74" s="22" t="s">
        <v>346</v>
      </c>
      <c r="D74" s="22" t="s">
        <v>347</v>
      </c>
      <c r="E74" s="22" t="s">
        <v>53</v>
      </c>
      <c r="F74" s="22"/>
    </row>
    <row r="75" customFormat="false" ht="15" hidden="false" customHeight="false" outlineLevel="0" collapsed="false">
      <c r="A75" s="22" t="n">
        <v>72</v>
      </c>
      <c r="B75" s="22" t="s">
        <v>229</v>
      </c>
      <c r="C75" s="22" t="s">
        <v>348</v>
      </c>
      <c r="D75" s="22" t="s">
        <v>349</v>
      </c>
      <c r="E75" s="22" t="s">
        <v>48</v>
      </c>
      <c r="F75" s="22"/>
    </row>
    <row r="76" customFormat="false" ht="15" hidden="false" customHeight="false" outlineLevel="0" collapsed="false">
      <c r="A76" s="22" t="n">
        <v>73</v>
      </c>
      <c r="B76" s="22" t="s">
        <v>229</v>
      </c>
      <c r="C76" s="22" t="s">
        <v>350</v>
      </c>
      <c r="D76" s="22" t="s">
        <v>351</v>
      </c>
      <c r="E76" s="22" t="s">
        <v>48</v>
      </c>
      <c r="F76" s="22"/>
    </row>
    <row r="77" customFormat="false" ht="15" hidden="false" customHeight="false" outlineLevel="0" collapsed="false">
      <c r="A77" s="22" t="n">
        <v>74</v>
      </c>
      <c r="B77" s="22" t="s">
        <v>229</v>
      </c>
      <c r="C77" s="22" t="s">
        <v>352</v>
      </c>
      <c r="D77" s="22" t="s">
        <v>353</v>
      </c>
      <c r="E77" s="22" t="s">
        <v>48</v>
      </c>
      <c r="F77" s="22"/>
    </row>
    <row r="78" customFormat="false" ht="15" hidden="false" customHeight="false" outlineLevel="0" collapsed="false">
      <c r="A78" s="22" t="n">
        <v>75</v>
      </c>
      <c r="B78" s="22" t="s">
        <v>229</v>
      </c>
      <c r="C78" s="22" t="s">
        <v>304</v>
      </c>
      <c r="D78" s="22" t="s">
        <v>354</v>
      </c>
      <c r="E78" s="22" t="s">
        <v>71</v>
      </c>
      <c r="F78" s="22"/>
    </row>
    <row r="79" customFormat="false" ht="15" hidden="false" customHeight="false" outlineLevel="0" collapsed="false">
      <c r="A79" s="22" t="n">
        <v>76</v>
      </c>
      <c r="B79" s="22" t="s">
        <v>229</v>
      </c>
      <c r="C79" s="22" t="s">
        <v>304</v>
      </c>
      <c r="D79" s="22" t="s">
        <v>355</v>
      </c>
      <c r="E79" s="22" t="s">
        <v>18</v>
      </c>
      <c r="F79" s="22"/>
    </row>
    <row r="80" customFormat="false" ht="15" hidden="false" customHeight="false" outlineLevel="0" collapsed="false">
      <c r="A80" s="22" t="n">
        <v>77</v>
      </c>
      <c r="B80" s="22" t="s">
        <v>229</v>
      </c>
      <c r="C80" s="22" t="s">
        <v>356</v>
      </c>
      <c r="D80" s="22" t="s">
        <v>357</v>
      </c>
      <c r="E80" s="22" t="s">
        <v>53</v>
      </c>
      <c r="F80" s="22"/>
    </row>
    <row r="81" customFormat="false" ht="15" hidden="false" customHeight="false" outlineLevel="0" collapsed="false">
      <c r="A81" s="22" t="n">
        <v>78</v>
      </c>
      <c r="B81" s="22" t="s">
        <v>229</v>
      </c>
      <c r="C81" s="22" t="s">
        <v>358</v>
      </c>
      <c r="D81" s="22" t="s">
        <v>39</v>
      </c>
      <c r="E81" s="22" t="s">
        <v>48</v>
      </c>
      <c r="F81" s="22"/>
    </row>
    <row r="82" customFormat="false" ht="15" hidden="false" customHeight="false" outlineLevel="0" collapsed="false">
      <c r="A82" s="22" t="n">
        <v>79</v>
      </c>
      <c r="B82" s="22" t="s">
        <v>229</v>
      </c>
      <c r="C82" s="22" t="s">
        <v>359</v>
      </c>
      <c r="D82" s="22" t="s">
        <v>99</v>
      </c>
      <c r="E82" s="22" t="s">
        <v>48</v>
      </c>
      <c r="F82" s="22"/>
    </row>
    <row r="83" customFormat="false" ht="15" hidden="false" customHeight="false" outlineLevel="0" collapsed="false">
      <c r="A83" s="22" t="n">
        <v>80</v>
      </c>
      <c r="B83" s="22" t="s">
        <v>229</v>
      </c>
      <c r="C83" s="22" t="s">
        <v>360</v>
      </c>
      <c r="D83" s="22" t="s">
        <v>226</v>
      </c>
      <c r="E83" s="22" t="s">
        <v>71</v>
      </c>
      <c r="F83" s="22"/>
    </row>
    <row r="84" customFormat="false" ht="15" hidden="false" customHeight="false" outlineLevel="0" collapsed="false">
      <c r="A84" s="22" t="n">
        <v>81</v>
      </c>
      <c r="B84" s="22" t="s">
        <v>229</v>
      </c>
      <c r="C84" s="22" t="s">
        <v>361</v>
      </c>
      <c r="D84" s="22" t="s">
        <v>362</v>
      </c>
      <c r="E84" s="22" t="s">
        <v>37</v>
      </c>
      <c r="F84" s="22"/>
    </row>
    <row r="85" customFormat="false" ht="15" hidden="false" customHeight="false" outlineLevel="0" collapsed="false">
      <c r="A85" s="22" t="n">
        <v>82</v>
      </c>
      <c r="B85" s="22" t="s">
        <v>229</v>
      </c>
      <c r="C85" s="22" t="s">
        <v>363</v>
      </c>
      <c r="D85" s="22" t="s">
        <v>364</v>
      </c>
      <c r="E85" s="22" t="s">
        <v>53</v>
      </c>
      <c r="F85" s="22"/>
    </row>
    <row r="86" customFormat="false" ht="15" hidden="false" customHeight="false" outlineLevel="0" collapsed="false">
      <c r="A86" s="22" t="n">
        <v>83</v>
      </c>
      <c r="B86" s="22" t="s">
        <v>229</v>
      </c>
      <c r="C86" s="22" t="s">
        <v>365</v>
      </c>
      <c r="D86" s="22" t="s">
        <v>366</v>
      </c>
      <c r="E86" s="22" t="s">
        <v>37</v>
      </c>
      <c r="F86" s="22"/>
    </row>
    <row r="87" customFormat="false" ht="15" hidden="false" customHeight="false" outlineLevel="0" collapsed="false">
      <c r="A87" s="22" t="n">
        <v>84</v>
      </c>
      <c r="B87" s="22" t="s">
        <v>229</v>
      </c>
      <c r="C87" s="22" t="s">
        <v>367</v>
      </c>
      <c r="D87" s="22" t="s">
        <v>80</v>
      </c>
      <c r="E87" s="22" t="s">
        <v>28</v>
      </c>
      <c r="F87" s="22"/>
    </row>
    <row r="88" customFormat="false" ht="15" hidden="false" customHeight="false" outlineLevel="0" collapsed="false">
      <c r="A88" s="22" t="n">
        <v>85</v>
      </c>
      <c r="B88" s="22" t="s">
        <v>229</v>
      </c>
      <c r="C88" s="22" t="s">
        <v>368</v>
      </c>
      <c r="D88" s="22" t="s">
        <v>369</v>
      </c>
      <c r="E88" s="22" t="s">
        <v>71</v>
      </c>
      <c r="F88" s="22"/>
    </row>
    <row r="89" customFormat="false" ht="15" hidden="false" customHeight="false" outlineLevel="0" collapsed="false">
      <c r="A89" s="22" t="n">
        <v>86</v>
      </c>
      <c r="B89" s="22" t="s">
        <v>229</v>
      </c>
      <c r="C89" s="22" t="s">
        <v>370</v>
      </c>
      <c r="D89" s="22" t="s">
        <v>178</v>
      </c>
      <c r="E89" s="22" t="s">
        <v>37</v>
      </c>
      <c r="F89" s="22"/>
    </row>
    <row r="90" customFormat="false" ht="15" hidden="false" customHeight="false" outlineLevel="0" collapsed="false">
      <c r="A90" s="22" t="n">
        <v>87</v>
      </c>
      <c r="B90" s="22" t="s">
        <v>229</v>
      </c>
      <c r="C90" s="22" t="s">
        <v>371</v>
      </c>
      <c r="D90" s="22" t="s">
        <v>27</v>
      </c>
      <c r="E90" s="22" t="s">
        <v>53</v>
      </c>
      <c r="F90" s="22"/>
    </row>
    <row r="91" customFormat="false" ht="15" hidden="false" customHeight="false" outlineLevel="0" collapsed="false">
      <c r="A91" s="22" t="n">
        <v>88</v>
      </c>
      <c r="B91" s="22" t="s">
        <v>229</v>
      </c>
      <c r="C91" s="22" t="s">
        <v>372</v>
      </c>
      <c r="D91" s="22" t="s">
        <v>91</v>
      </c>
      <c r="E91" s="22" t="s">
        <v>71</v>
      </c>
      <c r="F91" s="22"/>
    </row>
    <row r="92" customFormat="false" ht="15" hidden="false" customHeight="false" outlineLevel="0" collapsed="false">
      <c r="A92" s="22" t="n">
        <v>89</v>
      </c>
      <c r="B92" s="22" t="s">
        <v>229</v>
      </c>
      <c r="C92" s="22" t="s">
        <v>373</v>
      </c>
      <c r="D92" s="22" t="s">
        <v>91</v>
      </c>
      <c r="E92" s="22" t="s">
        <v>28</v>
      </c>
      <c r="F92" s="22"/>
    </row>
    <row r="93" customFormat="false" ht="15" hidden="false" customHeight="false" outlineLevel="0" collapsed="false">
      <c r="A93" s="22" t="n">
        <v>90</v>
      </c>
      <c r="B93" s="22" t="s">
        <v>229</v>
      </c>
      <c r="C93" s="22" t="s">
        <v>374</v>
      </c>
      <c r="D93" s="22" t="s">
        <v>293</v>
      </c>
      <c r="E93" s="22" t="s">
        <v>131</v>
      </c>
      <c r="F93" s="22"/>
    </row>
    <row r="94" customFormat="false" ht="15" hidden="false" customHeight="false" outlineLevel="0" collapsed="false">
      <c r="A94" s="22" t="n">
        <v>91</v>
      </c>
      <c r="B94" s="22" t="s">
        <v>229</v>
      </c>
      <c r="C94" s="22" t="s">
        <v>375</v>
      </c>
      <c r="D94" s="22" t="s">
        <v>174</v>
      </c>
      <c r="E94" s="22" t="s">
        <v>53</v>
      </c>
      <c r="F94" s="22"/>
    </row>
    <row r="95" customFormat="false" ht="15" hidden="false" customHeight="false" outlineLevel="0" collapsed="false">
      <c r="A95" s="22" t="n">
        <v>92</v>
      </c>
      <c r="B95" s="22" t="s">
        <v>229</v>
      </c>
      <c r="C95" s="22" t="s">
        <v>60</v>
      </c>
      <c r="D95" s="22" t="s">
        <v>303</v>
      </c>
      <c r="E95" s="22" t="s">
        <v>37</v>
      </c>
      <c r="F95" s="22"/>
    </row>
    <row r="96" customFormat="false" ht="15" hidden="false" customHeight="false" outlineLevel="0" collapsed="false">
      <c r="A96" s="22" t="n">
        <v>93</v>
      </c>
      <c r="B96" s="22" t="s">
        <v>229</v>
      </c>
      <c r="C96" s="22" t="s">
        <v>376</v>
      </c>
      <c r="D96" s="22" t="s">
        <v>159</v>
      </c>
      <c r="E96" s="22" t="s">
        <v>71</v>
      </c>
      <c r="F96" s="22"/>
    </row>
    <row r="97" customFormat="false" ht="15" hidden="false" customHeight="false" outlineLevel="0" collapsed="false">
      <c r="A97" s="22" t="n">
        <v>94</v>
      </c>
      <c r="B97" s="22" t="s">
        <v>229</v>
      </c>
      <c r="C97" s="22" t="s">
        <v>377</v>
      </c>
      <c r="D97" s="22" t="s">
        <v>70</v>
      </c>
      <c r="E97" s="22" t="s">
        <v>131</v>
      </c>
      <c r="F97" s="22"/>
    </row>
    <row r="98" customFormat="false" ht="15" hidden="false" customHeight="false" outlineLevel="0" collapsed="false">
      <c r="A98" s="22" t="n">
        <v>95</v>
      </c>
      <c r="B98" s="22" t="s">
        <v>229</v>
      </c>
      <c r="C98" s="22" t="s">
        <v>378</v>
      </c>
      <c r="D98" s="22" t="s">
        <v>27</v>
      </c>
      <c r="E98" s="22" t="s">
        <v>53</v>
      </c>
      <c r="F98" s="22"/>
    </row>
    <row r="99" customFormat="false" ht="15" hidden="false" customHeight="false" outlineLevel="0" collapsed="false">
      <c r="A99" s="22" t="n">
        <v>96</v>
      </c>
      <c r="B99" s="22" t="s">
        <v>229</v>
      </c>
      <c r="C99" s="22" t="s">
        <v>379</v>
      </c>
      <c r="D99" s="22" t="s">
        <v>147</v>
      </c>
      <c r="E99" s="22" t="s">
        <v>131</v>
      </c>
      <c r="F99" s="22"/>
    </row>
    <row r="100" customFormat="false" ht="15" hidden="false" customHeight="false" outlineLevel="0" collapsed="false">
      <c r="A100" s="22" t="n">
        <v>97</v>
      </c>
      <c r="B100" s="22" t="s">
        <v>229</v>
      </c>
      <c r="C100" s="22" t="s">
        <v>380</v>
      </c>
      <c r="D100" s="22" t="s">
        <v>333</v>
      </c>
      <c r="E100" s="22" t="s">
        <v>131</v>
      </c>
      <c r="F100" s="22"/>
    </row>
    <row r="101" customFormat="false" ht="15" hidden="false" customHeight="false" outlineLevel="0" collapsed="false">
      <c r="A101" s="22" t="n">
        <v>98</v>
      </c>
      <c r="B101" s="22" t="s">
        <v>229</v>
      </c>
      <c r="C101" s="22" t="s">
        <v>381</v>
      </c>
      <c r="D101" s="22" t="s">
        <v>141</v>
      </c>
      <c r="E101" s="22" t="s">
        <v>53</v>
      </c>
      <c r="F101" s="22"/>
    </row>
    <row r="102" customFormat="false" ht="15" hidden="false" customHeight="false" outlineLevel="0" collapsed="false">
      <c r="A102" s="22" t="n">
        <v>99</v>
      </c>
      <c r="B102" s="22" t="s">
        <v>229</v>
      </c>
      <c r="C102" s="22" t="s">
        <v>382</v>
      </c>
      <c r="D102" s="22" t="s">
        <v>226</v>
      </c>
      <c r="E102" s="22" t="s">
        <v>48</v>
      </c>
      <c r="F102" s="22"/>
    </row>
    <row r="103" customFormat="false" ht="15" hidden="false" customHeight="false" outlineLevel="0" collapsed="false">
      <c r="A103" s="22" t="n">
        <v>100</v>
      </c>
      <c r="B103" s="22" t="s">
        <v>229</v>
      </c>
      <c r="C103" s="22" t="s">
        <v>383</v>
      </c>
      <c r="D103" s="22" t="s">
        <v>384</v>
      </c>
      <c r="E103" s="22" t="s">
        <v>71</v>
      </c>
      <c r="F103" s="22"/>
    </row>
    <row r="104" customFormat="false" ht="15" hidden="false" customHeight="false" outlineLevel="0" collapsed="false">
      <c r="A104" s="22" t="n">
        <v>101</v>
      </c>
      <c r="B104" s="22" t="s">
        <v>229</v>
      </c>
      <c r="C104" s="22" t="s">
        <v>383</v>
      </c>
      <c r="D104" s="22" t="s">
        <v>91</v>
      </c>
      <c r="E104" s="22" t="s">
        <v>71</v>
      </c>
      <c r="F104" s="22"/>
    </row>
    <row r="105" customFormat="false" ht="15" hidden="false" customHeight="false" outlineLevel="0" collapsed="false">
      <c r="A105" s="22" t="n">
        <v>102</v>
      </c>
      <c r="B105" s="22" t="s">
        <v>229</v>
      </c>
      <c r="C105" s="22" t="s">
        <v>63</v>
      </c>
      <c r="D105" s="22" t="s">
        <v>80</v>
      </c>
      <c r="E105" s="22" t="s">
        <v>53</v>
      </c>
      <c r="F105" s="22"/>
    </row>
    <row r="106" customFormat="false" ht="15" hidden="false" customHeight="false" outlineLevel="0" collapsed="false">
      <c r="A106" s="22" t="n">
        <v>103</v>
      </c>
      <c r="B106" s="22" t="s">
        <v>229</v>
      </c>
      <c r="C106" s="22" t="s">
        <v>385</v>
      </c>
      <c r="D106" s="22" t="s">
        <v>386</v>
      </c>
      <c r="E106" s="22" t="s">
        <v>131</v>
      </c>
      <c r="F106" s="22"/>
    </row>
    <row r="107" customFormat="false" ht="15" hidden="false" customHeight="false" outlineLevel="0" collapsed="false">
      <c r="A107" s="22" t="n">
        <v>104</v>
      </c>
      <c r="B107" s="22" t="s">
        <v>229</v>
      </c>
      <c r="C107" s="22" t="s">
        <v>387</v>
      </c>
      <c r="D107" s="22" t="s">
        <v>388</v>
      </c>
      <c r="E107" s="22" t="s">
        <v>48</v>
      </c>
      <c r="F107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2026-02-26T17:02:09Z</dcterms:created>
  <dc:creator>openpyxl</dc:creator>
  <dc:description/>
  <dc:language>en-US</dc:language>
  <cp:lastModifiedBy/>
  <dcterms:modified xsi:type="dcterms:W3CDTF">2026-02-26T17:02:10Z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